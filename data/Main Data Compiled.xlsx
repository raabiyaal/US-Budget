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aabiyaal Ishaq\OneDrive - The University of Chicago\Desktop\6. STUDY\Quarter 4\Data Viz\Static Project\US-Budget\data\"/>
    </mc:Choice>
  </mc:AlternateContent>
  <xr:revisionPtr revIDLastSave="0" documentId="13_ncr:1_{3838EE30-6162-4DCD-9342-86C3DB227954}" xr6:coauthVersionLast="47" xr6:coauthVersionMax="47" xr10:uidLastSave="{00000000-0000-0000-0000-000000000000}"/>
  <bookViews>
    <workbookView xWindow="-110" yWindow="-110" windowWidth="19420" windowHeight="11020" tabRatio="738" firstSheet="5" activeTab="12" xr2:uid="{00000000-000D-0000-FFFF-FFFF00000000}"/>
  </bookViews>
  <sheets>
    <sheet name="Table 1.1" sheetId="1" r:id="rId1"/>
    <sheet name="Table 1.2" sheetId="2" r:id="rId2"/>
    <sheet name="Table 1.3" sheetId="3" r:id="rId3"/>
    <sheet name="Table 2.1" sheetId="4" r:id="rId4"/>
    <sheet name="Table 2.2" sheetId="5" r:id="rId5"/>
    <sheet name="Table 2.4.1" sheetId="6" r:id="rId6"/>
    <sheet name="Table 2.4.2" sheetId="7" r:id="rId7"/>
    <sheet name="Table 3.2" sheetId="8" r:id="rId8"/>
    <sheet name="Table 3.2A" sheetId="11" r:id="rId9"/>
    <sheet name="Table 7.1" sheetId="10" r:id="rId10"/>
    <sheet name="Debt Holding" sheetId="12" r:id="rId11"/>
    <sheet name="Table 3.2 x" sheetId="9" r:id="rId12"/>
    <sheet name="State-wise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8" l="1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L12" i="8"/>
  <c r="B12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L25" i="8"/>
  <c r="B25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21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L18" i="8"/>
  <c r="B18" i="8"/>
  <c r="C3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BL3" i="8"/>
  <c r="B3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14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L8" i="8"/>
  <c r="B8" i="8"/>
</calcChain>
</file>

<file path=xl/sharedStrings.xml><?xml version="1.0" encoding="utf-8"?>
<sst xmlns="http://schemas.openxmlformats.org/spreadsheetml/2006/main" count="907" uniqueCount="351">
  <si>
    <t>Table 1.1 - SUMMARY OF RECEIPTS, OUTLAYS, AND SURPLUSES OR DEFICITS ( - ):  1789 - 2024</t>
  </si>
  <si>
    <t>Receipts</t>
  </si>
  <si>
    <t>Outlays</t>
  </si>
  <si>
    <t>Surplus or Deficit (-)</t>
  </si>
  <si>
    <t>-*</t>
  </si>
  <si>
    <t>Years</t>
  </si>
  <si>
    <t>GDP (in billions of dollars)</t>
  </si>
  <si>
    <t>Table 1.2 - SUMMARY OF RECEIPTS, OUTLAYS, AND SURPLUSES OR DEFICITS ( - ) AS PERCENTAGES OF GDP:  1930 - 2024</t>
  </si>
  <si>
    <t>Individual Income Taxes</t>
  </si>
  <si>
    <t>..........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</si>
  <si>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</si>
  <si>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</si>
  <si>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</si>
  <si>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</si>
  <si>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</si>
  <si>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</si>
  <si>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</si>
  <si>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</si>
  <si>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</si>
  <si>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</si>
  <si>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</si>
  <si>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</si>
  <si>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</si>
  <si>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</si>
  <si>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</si>
  <si>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</si>
  <si>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</si>
  <si>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</si>
  <si>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</si>
  <si>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</si>
  <si>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</si>
  <si>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</si>
  <si>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</si>
  <si>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</si>
  <si>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</si>
  <si>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</si>
  <si>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</si>
  <si>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</si>
  <si>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</si>
  <si>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</si>
  <si>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</si>
  <si>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</si>
  <si>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</si>
  <si>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</si>
  <si>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</si>
  <si>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</si>
  <si>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</si>
  <si>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</si>
  <si>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</si>
  <si>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</si>
  <si>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</si>
  <si>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</si>
  <si>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</si>
  <si>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</si>
  <si>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</si>
  <si>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</si>
  <si>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</si>
  <si>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</si>
  <si>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</si>
  <si>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</si>
  <si>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</si>
  <si>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</si>
  <si>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</si>
  <si>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</si>
  <si>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</si>
  <si>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</si>
  <si>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</si>
  <si>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</si>
  <si>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</si>
  <si>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</si>
  <si>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</si>
  <si>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</si>
  <si>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</si>
  <si>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</si>
  <si>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</si>
  <si>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</si>
  <si>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</si>
  <si>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</si>
  <si>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</si>
  <si>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</si>
  <si>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</si>
  <si>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</si>
  <si>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</si>
  <si>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</si>
  <si>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</si>
  <si>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</si>
  <si>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</si>
  <si>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</si>
  <si>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</si>
  <si>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</si>
  <si>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</si>
  <si>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</si>
  <si>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</si>
  <si>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</si>
  <si>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</si>
  <si>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Corporation Income Taxes</t>
  </si>
  <si>
    <t>Excise Taxes</t>
  </si>
  <si>
    <t>Other</t>
  </si>
  <si>
    <t>Year</t>
  </si>
  <si>
    <t xml:space="preserve">Excise Taxes </t>
  </si>
  <si>
    <t>Hospital insurance</t>
  </si>
  <si>
    <t>Railroad social security equivalent account</t>
  </si>
  <si>
    <t>Alcohol</t>
  </si>
  <si>
    <t>Tobacco</t>
  </si>
  <si>
    <t>Crude oil windfall profit</t>
  </si>
  <si>
    <t>Telephone</t>
  </si>
  <si>
    <t>Ozone depleting chemicals/products</t>
  </si>
  <si>
    <t>Transportation fuels</t>
  </si>
  <si>
    <t>Health insurance providers</t>
  </si>
  <si>
    <t>Medical devices</t>
  </si>
  <si>
    <t>Transportation</t>
  </si>
  <si>
    <t>Airport and airway</t>
  </si>
  <si>
    <t>Black lung disability</t>
  </si>
  <si>
    <t>Inland waterway</t>
  </si>
  <si>
    <t>Hazardous substance superfund</t>
  </si>
  <si>
    <t>Oil spill liability</t>
  </si>
  <si>
    <t>Aquatic resources</t>
  </si>
  <si>
    <t>Leaking underground storage tank</t>
  </si>
  <si>
    <t>Tobacco Assessments</t>
  </si>
  <si>
    <t>Vaccine injury compensation</t>
  </si>
  <si>
    <t>Supplementary medical insurance</t>
  </si>
  <si>
    <t>Patient-centered outcomes research</t>
  </si>
  <si>
    <t>Table 24 - COMPOSITION OF SOCIAL INSURANCE AND RETIREMENT RECEIPTS AND OF EXCISE TAXES:  1940 - 2024</t>
  </si>
  <si>
    <t>Railroad retirement/pension fund</t>
  </si>
  <si>
    <t>Unemployment insurance</t>
  </si>
  <si>
    <t>Other retirement</t>
  </si>
  <si>
    <t>Old-age and survivors insurance</t>
  </si>
  <si>
    <t>Disability insurance</t>
  </si>
  <si>
    <t>Table 3.2 - OUTLAYS BY FUNCTION AND SUBFUNCTION:  1962 - 2024</t>
  </si>
  <si>
    <t>Function and Subfunction</t>
  </si>
  <si>
    <t>050 National Defense:</t>
  </si>
  <si>
    <t>051 Department of Defense-Military:</t>
  </si>
  <si>
    <t>Military Personnel</t>
  </si>
  <si>
    <t>Operation and Maintenance</t>
  </si>
  <si>
    <t>Procurement</t>
  </si>
  <si>
    <t>Research, Development, Test, and Evaluation</t>
  </si>
  <si>
    <t>Military Construction</t>
  </si>
  <si>
    <t>Family Housing</t>
  </si>
  <si>
    <t>051 Subtotal, Department of Defense-Military</t>
  </si>
  <si>
    <t>053 Atomic energy defense activities</t>
  </si>
  <si>
    <t>054 Defense-related activities</t>
  </si>
  <si>
    <t>Total, National Defense</t>
  </si>
  <si>
    <t>150 International Affairs:</t>
  </si>
  <si>
    <t>151 International development and humanitarian assistance</t>
  </si>
  <si>
    <t>152 International security assistance</t>
  </si>
  <si>
    <t>153 Conduct of foreign affairs</t>
  </si>
  <si>
    <t>154 Foreign information and exchange activities</t>
  </si>
  <si>
    <t>155 International financial programs</t>
  </si>
  <si>
    <t>Total, International Affairs</t>
  </si>
  <si>
    <t>250 General Science, Space, and Technology:</t>
  </si>
  <si>
    <t>251 General science and basic research</t>
  </si>
  <si>
    <t>252 Space flight, research, and supporting activities</t>
  </si>
  <si>
    <t>Total, General Science, Space, and Technology</t>
  </si>
  <si>
    <t>270 Energy:</t>
  </si>
  <si>
    <t>271 Energy supply</t>
  </si>
  <si>
    <t>272 Energy conservation</t>
  </si>
  <si>
    <t>...........</t>
  </si>
  <si>
    <t>274 Emergency energy preparedness</t>
  </si>
  <si>
    <t>276 Energy information, policy, and regulation</t>
  </si>
  <si>
    <t>Total, Energy</t>
  </si>
  <si>
    <t>300 Natural Resources and Environment:</t>
  </si>
  <si>
    <t>301 Water resources</t>
  </si>
  <si>
    <t>302 Conservation and land management</t>
  </si>
  <si>
    <t>303 Recreational resources</t>
  </si>
  <si>
    <t>304 Pollution control and abatement</t>
  </si>
  <si>
    <t>306 Other natural resources</t>
  </si>
  <si>
    <t>Total, Natural Resources and Environment</t>
  </si>
  <si>
    <t>350 Agriculture:</t>
  </si>
  <si>
    <t>351 Farm income stabilization</t>
  </si>
  <si>
    <t>352 Agricultural research and services</t>
  </si>
  <si>
    <t>Total, Agriculture</t>
  </si>
  <si>
    <t>370 Commerce and Housing Credit:</t>
  </si>
  <si>
    <t>371 Mortgage credit</t>
  </si>
  <si>
    <t>372 Postal service</t>
  </si>
  <si>
    <t>373 Deposit insurance</t>
  </si>
  <si>
    <t>376 Other advancement of commerce</t>
  </si>
  <si>
    <t>Total, Commerce and Housing Credit</t>
  </si>
  <si>
    <t>400 Transportation:</t>
  </si>
  <si>
    <t>401 Ground transportation</t>
  </si>
  <si>
    <t>402 Air transportation</t>
  </si>
  <si>
    <t>403 Water transportation</t>
  </si>
  <si>
    <t>407 Other transportation</t>
  </si>
  <si>
    <t>Total, Transportation</t>
  </si>
  <si>
    <t>450 Community and Regional Development:</t>
  </si>
  <si>
    <t>451 Community development</t>
  </si>
  <si>
    <t>452 Area and regional development</t>
  </si>
  <si>
    <t>453 Disaster relief and insurance</t>
  </si>
  <si>
    <t>Total, Community and Regional Development</t>
  </si>
  <si>
    <t>500 Education, Training, Employment, and Social Services:</t>
  </si>
  <si>
    <t>501 Elementary, secondary, and vocational education</t>
  </si>
  <si>
    <t>502 Higher education</t>
  </si>
  <si>
    <t>503 Research and general education aids</t>
  </si>
  <si>
    <t>504 Training and employment</t>
  </si>
  <si>
    <t>505 Other labor services</t>
  </si>
  <si>
    <t>506 Social services</t>
  </si>
  <si>
    <t>Total, Education, Training, Employment, and Social Services</t>
  </si>
  <si>
    <t>550 Health:</t>
  </si>
  <si>
    <t>551 Health care services</t>
  </si>
  <si>
    <t>552 Health research and training</t>
  </si>
  <si>
    <t>554 Consumer and occupational health and safety</t>
  </si>
  <si>
    <t>Total, Health</t>
  </si>
  <si>
    <t>570 Medicare:</t>
  </si>
  <si>
    <t>571 Medicare</t>
  </si>
  <si>
    <t>600 Income Security:</t>
  </si>
  <si>
    <t>601 General retirement and disability insurance (excluding social security)</t>
  </si>
  <si>
    <t>602 Federal employee retirement and disability</t>
  </si>
  <si>
    <t>603 Unemployment compensation</t>
  </si>
  <si>
    <t>604 Housing assistance</t>
  </si>
  <si>
    <t>605 Food and nutrition assistance</t>
  </si>
  <si>
    <t>609 Other income security</t>
  </si>
  <si>
    <t>Total, Income Security</t>
  </si>
  <si>
    <t>650 Social Security:</t>
  </si>
  <si>
    <t>651 Social security</t>
  </si>
  <si>
    <t>700 Veterans Benefits and Services:</t>
  </si>
  <si>
    <t>701 Income security for veterans</t>
  </si>
  <si>
    <t>702 Veterans education, training, and rehabilitation</t>
  </si>
  <si>
    <t>703 Hospital and medical care for veterans</t>
  </si>
  <si>
    <t>704 Veterans housing</t>
  </si>
  <si>
    <t>705 Other veterans benefits and services</t>
  </si>
  <si>
    <t>Total, Veterans Benefits and Services</t>
  </si>
  <si>
    <t>750 Administration of Justice:</t>
  </si>
  <si>
    <t>751 Federal law enforcement activities</t>
  </si>
  <si>
    <t>752 Federal litigative and judicial activities</t>
  </si>
  <si>
    <t>753 Federal correctional activities</t>
  </si>
  <si>
    <t>754 Criminal justice assistance</t>
  </si>
  <si>
    <t>Total, Administration of Justice</t>
  </si>
  <si>
    <t>800 General Government:</t>
  </si>
  <si>
    <t>801 Legislative functions</t>
  </si>
  <si>
    <t>802 Executive direction and management</t>
  </si>
  <si>
    <t>803 Central fiscal operations</t>
  </si>
  <si>
    <t>804 General property and records management</t>
  </si>
  <si>
    <t>805 Central personnel management</t>
  </si>
  <si>
    <t>806 General purpose fiscal assistance</t>
  </si>
  <si>
    <t>808 Other general government</t>
  </si>
  <si>
    <t>809 Deductions for offsetting receipts</t>
  </si>
  <si>
    <t>Total, General Government</t>
  </si>
  <si>
    <t>900 Net Interest:</t>
  </si>
  <si>
    <t>901 Interest on Treasury debt securities (gross)</t>
  </si>
  <si>
    <t>902 Interest received by on-budget trust funds</t>
  </si>
  <si>
    <t>903 Interest received by off-budget trust funds</t>
  </si>
  <si>
    <t>908 Other interest</t>
  </si>
  <si>
    <t>909 Other investment income</t>
  </si>
  <si>
    <t>Total, Net Interest</t>
  </si>
  <si>
    <t>950 Undistributed Offsetting Receipts:</t>
  </si>
  <si>
    <t>951 Employer share, employee retirement (on-budget)</t>
  </si>
  <si>
    <t>952 Employer share, employee retirement (off-budget)</t>
  </si>
  <si>
    <t>953 Rents and royalties on the Outer Continental Shelf</t>
  </si>
  <si>
    <t>954 Sale of major assets</t>
  </si>
  <si>
    <t>959 Other undistributed offsetting receipts</t>
  </si>
  <si>
    <t>Total, Undistributed Offsetting Receipts</t>
  </si>
  <si>
    <t>Total outlays</t>
  </si>
  <si>
    <t>Medicare</t>
  </si>
  <si>
    <t>Social security</t>
  </si>
  <si>
    <t>National Defense</t>
  </si>
  <si>
    <t>International Affairs</t>
  </si>
  <si>
    <t>General Science, Space, and Technology</t>
  </si>
  <si>
    <t>Energy</t>
  </si>
  <si>
    <t>Natural Resources and Environment</t>
  </si>
  <si>
    <t>Agriculture</t>
  </si>
  <si>
    <t>Commerce and Housing Credit</t>
  </si>
  <si>
    <t>Community and Regional Development</t>
  </si>
  <si>
    <t>Education, Training, Employment, and Social Services</t>
  </si>
  <si>
    <t>Health</t>
  </si>
  <si>
    <t>Income Security</t>
  </si>
  <si>
    <t>Veterans Benefits and Services</t>
  </si>
  <si>
    <t>Administration of Justice</t>
  </si>
  <si>
    <t>General Government</t>
  </si>
  <si>
    <t>Net Interest</t>
  </si>
  <si>
    <t>Undistributed Offsetting Receipts</t>
  </si>
  <si>
    <t>Subfunctions</t>
  </si>
  <si>
    <t>Table 7.1 - FEDERAL DEBT AT THE END OF YEAR:  1940 - 2024</t>
  </si>
  <si>
    <t>Gross Federal Debt</t>
  </si>
  <si>
    <t>Social Ins. and Retirement Receipts</t>
  </si>
  <si>
    <t>Science, Energy &amp; Environment</t>
  </si>
  <si>
    <t>Agriculture &amp; Community Development</t>
  </si>
  <si>
    <t>Defense and Veterans Affairs</t>
  </si>
  <si>
    <t>Health and Medicare</t>
  </si>
  <si>
    <t>Social Insurance</t>
  </si>
  <si>
    <t>Justice and Government Operations</t>
  </si>
  <si>
    <t>Commerce and Infrastructure</t>
  </si>
  <si>
    <t>Education &amp; Labor</t>
  </si>
  <si>
    <t>Justice and Government</t>
  </si>
  <si>
    <t>Agri. &amp; Community Development</t>
  </si>
  <si>
    <t>Public</t>
  </si>
  <si>
    <t>Total Public Debt</t>
  </si>
  <si>
    <t>Total Privately Held</t>
  </si>
  <si>
    <t>Depository Institutions</t>
  </si>
  <si>
    <t>US Saving Bonds</t>
  </si>
  <si>
    <t>Pension funds</t>
  </si>
  <si>
    <t>Insurance Companies</t>
  </si>
  <si>
    <t>Mutual Funds</t>
  </si>
  <si>
    <t>State &amp; Local Govts</t>
  </si>
  <si>
    <t>Foreign &amp; International</t>
  </si>
  <si>
    <t>Other Investors</t>
  </si>
  <si>
    <t>Federal Reserve</t>
  </si>
  <si>
    <t>Government Accounts</t>
  </si>
  <si>
    <t xml:space="preserve">Federal Reserve </t>
  </si>
  <si>
    <t>State or Territory Name</t>
  </si>
  <si>
    <t>Awarded Amount (FY)</t>
  </si>
  <si>
    <t>Percent of Total</t>
  </si>
  <si>
    <t>Alabama (AL)</t>
  </si>
  <si>
    <t>Alaska (AK)</t>
  </si>
  <si>
    <t>Arizona (AZ)</t>
  </si>
  <si>
    <t>Arkansas (AR)</t>
  </si>
  <si>
    <t>California (CA)</t>
  </si>
  <si>
    <t>Colorado (CO)</t>
  </si>
  <si>
    <t>Connecticut (CT)</t>
  </si>
  <si>
    <t>Delaware (DE)</t>
  </si>
  <si>
    <t>District of Columbia (DC)</t>
  </si>
  <si>
    <t>Florida (FL)</t>
  </si>
  <si>
    <t>Georgia (GA)</t>
  </si>
  <si>
    <t>Hawaii (HI)</t>
  </si>
  <si>
    <t>Idaho (ID)</t>
  </si>
  <si>
    <t>Illinois (IL)</t>
  </si>
  <si>
    <t>Indiana (IN)</t>
  </si>
  <si>
    <t>Iowa (IA)</t>
  </si>
  <si>
    <t>Kansas (KS)</t>
  </si>
  <si>
    <t>Kentucky (KY)</t>
  </si>
  <si>
    <t>Louisiana (LA)</t>
  </si>
  <si>
    <t>Maine (ME)</t>
  </si>
  <si>
    <t>Maryland (MD)</t>
  </si>
  <si>
    <t>Massachusetts (MA)</t>
  </si>
  <si>
    <t>Michigan (MI)</t>
  </si>
  <si>
    <t>Minnesota (MN)</t>
  </si>
  <si>
    <t>Mississippi (MS)</t>
  </si>
  <si>
    <t>Missouri (MO)</t>
  </si>
  <si>
    <t>Montana (MT)</t>
  </si>
  <si>
    <t>Nebraska (NE)</t>
  </si>
  <si>
    <t>Nevada (NV)</t>
  </si>
  <si>
    <t>New Hampshire (NH)</t>
  </si>
  <si>
    <t>New Jersey (NJ)</t>
  </si>
  <si>
    <t>New Mexico (NM)</t>
  </si>
  <si>
    <t>New York (NY)</t>
  </si>
  <si>
    <t>North Carolina (NC)</t>
  </si>
  <si>
    <t>North Dakota (ND)</t>
  </si>
  <si>
    <t>Ohio (OH)</t>
  </si>
  <si>
    <t>Oklahoma (OK)</t>
  </si>
  <si>
    <t>Oregon (OR)</t>
  </si>
  <si>
    <t>Pennsylvania (PA)</t>
  </si>
  <si>
    <t>Rhode Island (RI)</t>
  </si>
  <si>
    <t>South Carolina (SC)</t>
  </si>
  <si>
    <t>South Dakota (SD)</t>
  </si>
  <si>
    <t>Tennessee (TN)</t>
  </si>
  <si>
    <t>Texas (TX)</t>
  </si>
  <si>
    <t>Utah (UT)</t>
  </si>
  <si>
    <t>Vermont (VT)</t>
  </si>
  <si>
    <t>Virginia (VA)</t>
  </si>
  <si>
    <t>Washington (WA)</t>
  </si>
  <si>
    <t>West Virginia (WV)</t>
  </si>
  <si>
    <t>Wisconsin (WI)</t>
  </si>
  <si>
    <t>Wyoming (WY)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</si>
</sst>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#"/>
    <numFmt numFmtId="165" formatCode="_(* #,##0_);_(* \(#,##0\);_(* &quot;-&quot;??_);_(@_)"/>
    <numFmt numFmtId="166" formatCode="#,###.0"/>
    <numFmt numFmtId="167" formatCode="##,##0.0"/>
  </numFmts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indexed="8"/>
      <name val="Times New Roman"/>
    </font>
    <font>
      <sz val="10"/>
      <color indexed="8"/>
      <name val="Times New Roman"/>
    </font>
    <font>
      <sz val="11"/>
      <color theme="1"/>
      <name val="Calibri"/>
      <family val="2"/>
      <scheme val="minor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11"/>
      <color theme="1"/>
      <name val="Calibri"/>
      <family val="2"/>
      <scheme val="minor"/>
    </font>
    <font>
      <sz val="8"/>
      <color theme="1"/>
      <name val="Arial Narrow"/>
      <family val="2"/>
    </font>
  </fonts>
  <fills count="1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33CC33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62">
    <xf numFmtId="0" fontId="0" fillId="0" borderId="0" xfId="0"/>
    <xf numFmtId="164" fontId="3" fillId="0" borderId="1" xfId="1" applyNumberFormat="1" applyFont="1" applyBorder="1" applyAlignment="1">
      <alignment horizontal="right" vertical="top" wrapText="1"/>
    </xf>
    <xf numFmtId="164" fontId="3" fillId="0" borderId="2" xfId="1" applyNumberFormat="1" applyFont="1" applyBorder="1" applyAlignment="1">
      <alignment horizontal="right" vertical="top" wrapText="1"/>
    </xf>
    <xf numFmtId="0" fontId="2" fillId="0" borderId="0" xfId="1" applyFont="1" applyAlignment="1">
      <alignment vertical="top"/>
    </xf>
    <xf numFmtId="0" fontId="2" fillId="0" borderId="2" xfId="1" applyFont="1" applyBorder="1" applyAlignment="1">
      <alignment horizontal="center" vertical="center" wrapText="1"/>
    </xf>
    <xf numFmtId="1" fontId="3" fillId="0" borderId="0" xfId="1" applyNumberFormat="1" applyFont="1" applyAlignment="1">
      <alignment horizontal="center" vertical="top" wrapText="1"/>
    </xf>
    <xf numFmtId="165" fontId="3" fillId="0" borderId="0" xfId="2" applyNumberFormat="1" applyFont="1" applyAlignment="1">
      <alignment horizontal="center" vertical="top" wrapText="1"/>
    </xf>
    <xf numFmtId="0" fontId="2" fillId="0" borderId="3" xfId="1" applyFont="1" applyBorder="1" applyAlignment="1">
      <alignment horizontal="center" vertical="center" wrapText="1"/>
    </xf>
    <xf numFmtId="166" fontId="3" fillId="0" borderId="1" xfId="1" applyNumberFormat="1" applyFont="1" applyBorder="1" applyAlignment="1">
      <alignment horizontal="right" vertical="top" wrapText="1"/>
    </xf>
    <xf numFmtId="0" fontId="2" fillId="0" borderId="4" xfId="1" applyFont="1" applyBorder="1" applyAlignment="1">
      <alignment vertical="top" wrapText="1"/>
    </xf>
    <xf numFmtId="0" fontId="2" fillId="0" borderId="4" xfId="1" applyFont="1" applyBorder="1" applyAlignment="1">
      <alignment vertical="top"/>
    </xf>
    <xf numFmtId="10" fontId="3" fillId="0" borderId="2" xfId="3" applyNumberFormat="1" applyFont="1" applyBorder="1" applyAlignment="1">
      <alignment horizontal="right" vertical="top" wrapText="1"/>
    </xf>
    <xf numFmtId="0" fontId="3" fillId="0" borderId="0" xfId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7" fontId="3" fillId="0" borderId="2" xfId="1" applyNumberFormat="1" applyFont="1" applyBorder="1" applyAlignment="1">
      <alignment horizontal="right" vertical="top" wrapText="1"/>
    </xf>
    <xf numFmtId="0" fontId="2" fillId="0" borderId="4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1" fillId="0" borderId="0" xfId="1"/>
    <xf numFmtId="0" fontId="2" fillId="0" borderId="7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1" fillId="0" borderId="7" xfId="1" applyBorder="1"/>
    <xf numFmtId="164" fontId="3" fillId="0" borderId="7" xfId="1" applyNumberFormat="1" applyFont="1" applyBorder="1" applyAlignment="1">
      <alignment horizontal="right" vertical="top" wrapText="1"/>
    </xf>
    <xf numFmtId="164" fontId="1" fillId="0" borderId="7" xfId="1" applyNumberFormat="1" applyBorder="1"/>
    <xf numFmtId="0" fontId="5" fillId="0" borderId="0" xfId="1" applyFont="1" applyAlignment="1">
      <alignment horizontal="left" vertical="top" wrapText="1"/>
    </xf>
    <xf numFmtId="0" fontId="6" fillId="0" borderId="10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left" vertical="top" wrapText="1"/>
    </xf>
    <xf numFmtId="0" fontId="1" fillId="0" borderId="1" xfId="1" applyBorder="1"/>
    <xf numFmtId="0" fontId="1" fillId="0" borderId="2" xfId="1" applyBorder="1"/>
    <xf numFmtId="0" fontId="5" fillId="0" borderId="0" xfId="1" applyFont="1" applyAlignment="1">
      <alignment horizontal="left" vertical="top" wrapText="1" indent="1"/>
    </xf>
    <xf numFmtId="0" fontId="5" fillId="0" borderId="0" xfId="1" applyFont="1" applyAlignment="1">
      <alignment horizontal="left" vertical="top" wrapText="1" indent="2"/>
    </xf>
    <xf numFmtId="164" fontId="5" fillId="0" borderId="7" xfId="1" applyNumberFormat="1" applyFont="1" applyBorder="1" applyAlignment="1">
      <alignment horizontal="right" vertical="top" wrapText="1"/>
    </xf>
    <xf numFmtId="164" fontId="5" fillId="0" borderId="8" xfId="1" applyNumberFormat="1" applyFont="1" applyBorder="1" applyAlignment="1">
      <alignment horizontal="right" vertical="top" wrapText="1"/>
    </xf>
    <xf numFmtId="164" fontId="5" fillId="0" borderId="1" xfId="1" applyNumberFormat="1" applyFont="1" applyBorder="1" applyAlignment="1">
      <alignment horizontal="right" vertical="top" wrapText="1"/>
    </xf>
    <xf numFmtId="164" fontId="5" fillId="0" borderId="11" xfId="1" applyNumberFormat="1" applyFont="1" applyBorder="1" applyAlignment="1">
      <alignment horizontal="right" vertical="top" wrapText="1"/>
    </xf>
    <xf numFmtId="164" fontId="5" fillId="0" borderId="12" xfId="1" applyNumberFormat="1" applyFont="1" applyBorder="1" applyAlignment="1">
      <alignment horizontal="right" vertical="top" wrapText="1"/>
    </xf>
    <xf numFmtId="164" fontId="5" fillId="0" borderId="13" xfId="1" applyNumberFormat="1" applyFont="1" applyBorder="1" applyAlignment="1">
      <alignment horizontal="right" vertical="top" wrapText="1"/>
    </xf>
    <xf numFmtId="0" fontId="5" fillId="0" borderId="2" xfId="1" applyFont="1" applyBorder="1" applyAlignment="1">
      <alignment horizontal="left" vertical="top" wrapText="1"/>
    </xf>
    <xf numFmtId="164" fontId="5" fillId="0" borderId="2" xfId="1" applyNumberFormat="1" applyFont="1" applyBorder="1" applyAlignment="1">
      <alignment horizontal="right" vertical="top" wrapText="1"/>
    </xf>
    <xf numFmtId="0" fontId="6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2" borderId="0" xfId="1" applyFont="1" applyFill="1" applyAlignment="1">
      <alignment horizontal="left" vertical="top" wrapText="1" indent="1"/>
    </xf>
    <xf numFmtId="0" fontId="5" fillId="3" borderId="0" xfId="1" applyFont="1" applyFill="1" applyAlignment="1">
      <alignment horizontal="left" vertical="top" wrapText="1" indent="1"/>
    </xf>
    <xf numFmtId="0" fontId="5" fillId="4" borderId="0" xfId="1" applyFont="1" applyFill="1" applyAlignment="1">
      <alignment horizontal="left" vertical="top" wrapText="1" indent="1"/>
    </xf>
    <xf numFmtId="0" fontId="5" fillId="5" borderId="0" xfId="1" applyFont="1" applyFill="1" applyAlignment="1">
      <alignment horizontal="left" vertical="top" wrapText="1" indent="1"/>
    </xf>
    <xf numFmtId="0" fontId="5" fillId="6" borderId="0" xfId="1" applyFont="1" applyFill="1" applyAlignment="1">
      <alignment horizontal="left" vertical="top" wrapText="1" indent="1"/>
    </xf>
    <xf numFmtId="0" fontId="5" fillId="7" borderId="0" xfId="1" applyFont="1" applyFill="1" applyAlignment="1">
      <alignment horizontal="left" vertical="top" wrapText="1" indent="1"/>
    </xf>
    <xf numFmtId="0" fontId="5" fillId="8" borderId="0" xfId="1" applyFont="1" applyFill="1" applyAlignment="1">
      <alignment horizontal="left" vertical="top" wrapText="1" indent="1"/>
    </xf>
    <xf numFmtId="0" fontId="5" fillId="9" borderId="0" xfId="1" applyFont="1" applyFill="1" applyAlignment="1">
      <alignment horizontal="left" vertical="top" wrapText="1" indent="1"/>
    </xf>
    <xf numFmtId="0" fontId="5" fillId="10" borderId="0" xfId="1" applyFont="1" applyFill="1" applyAlignment="1">
      <alignment horizontal="left" vertical="top" wrapText="1" indent="1"/>
    </xf>
    <xf numFmtId="0" fontId="5" fillId="11" borderId="0" xfId="1" applyFont="1" applyFill="1" applyAlignment="1">
      <alignment horizontal="left" vertical="top" wrapText="1" indent="1"/>
    </xf>
    <xf numFmtId="0" fontId="5" fillId="12" borderId="0" xfId="1" applyFont="1" applyFill="1" applyAlignment="1">
      <alignment horizontal="left" vertical="top" wrapText="1" indent="1"/>
    </xf>
    <xf numFmtId="0" fontId="5" fillId="13" borderId="0" xfId="1" applyFont="1" applyFill="1" applyAlignment="1">
      <alignment horizontal="left" vertical="top" wrapText="1" indent="1"/>
    </xf>
    <xf numFmtId="0" fontId="5" fillId="14" borderId="0" xfId="1" applyFont="1" applyFill="1" applyAlignment="1">
      <alignment horizontal="left" vertical="top" wrapText="1" indent="1"/>
    </xf>
    <xf numFmtId="0" fontId="5" fillId="15" borderId="0" xfId="1" applyFont="1" applyFill="1" applyAlignment="1">
      <alignment horizontal="left" vertical="top" wrapText="1" inden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" fontId="8" fillId="0" borderId="0" xfId="0" applyNumberFormat="1" applyFont="1" applyAlignment="1">
      <alignment horizontal="right" vertical="center" wrapText="1" indent="1"/>
    </xf>
    <xf numFmtId="0" fontId="7" fillId="0" borderId="14" xfId="0" applyFont="1" applyBorder="1" applyAlignment="1">
      <alignment horizontal="center" vertical="top"/>
    </xf>
  </cellXfs>
  <cellStyles count="4">
    <cellStyle name="Comma" xfId="2" builtinId="3"/>
    <cellStyle name="Normal" xfId="0" builtinId="0"/>
    <cellStyle name="Normal 2" xfId="1" xr:uid="{64E0E3C6-1A39-4109-A18C-E77C72DA019A}"/>
    <cellStyle name="Percent" xfId="3" builtinId="5"/>
  </cellStyles>
  <dxfs count="0"/>
  <tableStyles count="0" defaultTableStyle="TableStyleMedium2" defaultPivotStyle="PivotStyleLight16"/>
  <colors>
    <mruColors>
      <color rgb="FF33CC33"/>
      <color rgb="FF0080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5"/>
  <sheetViews>
    <sheetView workbookViewId="0">
      <selection activeCell="D14" sqref="D14:D15"/>
    </sheetView>
  </sheetViews>
  <sheetFormatPr defaultRowHeight="14.5" x14ac:dyDescent="0.35"/>
  <cols>
    <col min="2" max="3" width="8.81640625" bestFit="1" customWidth="1"/>
    <col min="4" max="4" width="8.90625" bestFit="1" customWidth="1"/>
  </cols>
  <sheetData>
    <row r="1" spans="1:10" ht="26" x14ac:dyDescent="0.35">
      <c r="A1" s="4" t="s">
        <v>5</v>
      </c>
      <c r="B1" s="4" t="s">
        <v>1</v>
      </c>
      <c r="C1" s="4" t="s">
        <v>2</v>
      </c>
      <c r="D1" s="4" t="s">
        <v>3</v>
      </c>
    </row>
    <row r="2" spans="1:10" x14ac:dyDescent="0.35">
      <c r="A2" s="5">
        <v>1901</v>
      </c>
      <c r="B2" s="6">
        <v>0.58799999999999997</v>
      </c>
      <c r="C2" s="6">
        <v>0.52500000000000002</v>
      </c>
      <c r="D2" s="6">
        <v>6.3E-2</v>
      </c>
      <c r="E2" s="1">
        <v>588</v>
      </c>
      <c r="F2" s="2">
        <v>525</v>
      </c>
      <c r="G2" s="2">
        <v>63</v>
      </c>
      <c r="J2" s="3" t="s">
        <v>0</v>
      </c>
    </row>
    <row r="3" spans="1:10" x14ac:dyDescent="0.35">
      <c r="A3" s="5">
        <v>1902</v>
      </c>
      <c r="B3" s="6">
        <v>0.56200000000000006</v>
      </c>
      <c r="C3" s="6">
        <v>0.48499999999999999</v>
      </c>
      <c r="D3" s="6">
        <v>7.6999999999999999E-2</v>
      </c>
      <c r="E3" s="1">
        <v>562</v>
      </c>
      <c r="F3" s="2">
        <v>485</v>
      </c>
      <c r="G3" s="2">
        <v>77</v>
      </c>
    </row>
    <row r="4" spans="1:10" x14ac:dyDescent="0.35">
      <c r="A4" s="5">
        <v>1903</v>
      </c>
      <c r="B4" s="6">
        <v>0.56200000000000006</v>
      </c>
      <c r="C4" s="6">
        <v>0.51700000000000002</v>
      </c>
      <c r="D4" s="6">
        <v>4.4999999999999998E-2</v>
      </c>
      <c r="E4" s="1">
        <v>562</v>
      </c>
      <c r="F4" s="2">
        <v>517</v>
      </c>
      <c r="G4" s="2">
        <v>45</v>
      </c>
    </row>
    <row r="5" spans="1:10" x14ac:dyDescent="0.35">
      <c r="A5" s="5">
        <v>1904</v>
      </c>
      <c r="B5" s="6">
        <v>0.54100000000000004</v>
      </c>
      <c r="C5" s="6">
        <v>0.58399999999999996</v>
      </c>
      <c r="D5" s="6">
        <v>-4.2999999999999997E-2</v>
      </c>
      <c r="E5" s="1">
        <v>541</v>
      </c>
      <c r="F5" s="2">
        <v>584</v>
      </c>
      <c r="G5" s="2">
        <v>-43</v>
      </c>
    </row>
    <row r="6" spans="1:10" x14ac:dyDescent="0.35">
      <c r="A6" s="5">
        <v>1905</v>
      </c>
      <c r="B6" s="6">
        <v>0.54400000000000004</v>
      </c>
      <c r="C6" s="6">
        <v>0.56699999999999995</v>
      </c>
      <c r="D6" s="6">
        <v>-2.3E-2</v>
      </c>
      <c r="E6" s="1">
        <v>544</v>
      </c>
      <c r="F6" s="2">
        <v>567</v>
      </c>
      <c r="G6" s="2">
        <v>-23</v>
      </c>
    </row>
    <row r="7" spans="1:10" x14ac:dyDescent="0.35">
      <c r="A7" s="5">
        <v>1906</v>
      </c>
      <c r="B7" s="6">
        <v>0.59499999999999997</v>
      </c>
      <c r="C7" s="6">
        <v>0.56999999999999995</v>
      </c>
      <c r="D7" s="6">
        <v>2.5000000000000001E-2</v>
      </c>
      <c r="E7" s="1">
        <v>595</v>
      </c>
      <c r="F7" s="2">
        <v>570</v>
      </c>
      <c r="G7" s="2">
        <v>25</v>
      </c>
    </row>
    <row r="8" spans="1:10" x14ac:dyDescent="0.35">
      <c r="A8" s="5">
        <v>1907</v>
      </c>
      <c r="B8" s="6">
        <v>0.66600000000000004</v>
      </c>
      <c r="C8" s="6">
        <v>0.57899999999999996</v>
      </c>
      <c r="D8" s="6">
        <v>8.6999999999999994E-2</v>
      </c>
      <c r="E8" s="1">
        <v>666</v>
      </c>
      <c r="F8" s="2">
        <v>579</v>
      </c>
      <c r="G8" s="2">
        <v>87</v>
      </c>
    </row>
    <row r="9" spans="1:10" x14ac:dyDescent="0.35">
      <c r="A9" s="5">
        <v>1908</v>
      </c>
      <c r="B9" s="6">
        <v>0.60199999999999998</v>
      </c>
      <c r="C9" s="6">
        <v>0.65900000000000003</v>
      </c>
      <c r="D9" s="6">
        <v>-5.7000000000000002E-2</v>
      </c>
      <c r="E9" s="1">
        <v>602</v>
      </c>
      <c r="F9" s="2">
        <v>659</v>
      </c>
      <c r="G9" s="2">
        <v>-57</v>
      </c>
    </row>
    <row r="10" spans="1:10" x14ac:dyDescent="0.35">
      <c r="A10" s="5">
        <v>1909</v>
      </c>
      <c r="B10" s="6">
        <v>0.60399999999999998</v>
      </c>
      <c r="C10" s="6">
        <v>0.69399999999999995</v>
      </c>
      <c r="D10" s="6">
        <v>-8.8999999999999996E-2</v>
      </c>
      <c r="E10" s="1">
        <v>604</v>
      </c>
      <c r="F10" s="2">
        <v>694</v>
      </c>
      <c r="G10" s="2">
        <v>-89</v>
      </c>
    </row>
    <row r="11" spans="1:10" x14ac:dyDescent="0.35">
      <c r="A11" s="5">
        <v>1910</v>
      </c>
      <c r="B11" s="6">
        <v>0.67600000000000005</v>
      </c>
      <c r="C11" s="6">
        <v>0.69399999999999995</v>
      </c>
      <c r="D11" s="6">
        <v>-1.7999999999999999E-2</v>
      </c>
      <c r="E11" s="1">
        <v>676</v>
      </c>
      <c r="F11" s="2">
        <v>694</v>
      </c>
      <c r="G11" s="2">
        <v>-18</v>
      </c>
    </row>
    <row r="12" spans="1:10" x14ac:dyDescent="0.35">
      <c r="A12" s="5">
        <v>1911</v>
      </c>
      <c r="B12" s="6">
        <v>0.70199999999999996</v>
      </c>
      <c r="C12" s="6">
        <v>0.69099999999999995</v>
      </c>
      <c r="D12" s="6">
        <v>1.0999999999999999E-2</v>
      </c>
      <c r="E12" s="1">
        <v>702</v>
      </c>
      <c r="F12" s="2">
        <v>691</v>
      </c>
      <c r="G12" s="2">
        <v>11</v>
      </c>
    </row>
    <row r="13" spans="1:10" x14ac:dyDescent="0.35">
      <c r="A13" s="5">
        <v>1912</v>
      </c>
      <c r="B13" s="6">
        <v>0.69299999999999995</v>
      </c>
      <c r="C13" s="6">
        <v>0.69</v>
      </c>
      <c r="D13" s="6">
        <v>3.0000000000000001E-3</v>
      </c>
      <c r="E13" s="1">
        <v>693</v>
      </c>
      <c r="F13" s="2">
        <v>690</v>
      </c>
      <c r="G13" s="2">
        <v>3</v>
      </c>
    </row>
    <row r="14" spans="1:10" x14ac:dyDescent="0.35">
      <c r="A14" s="5">
        <v>1913</v>
      </c>
      <c r="B14" s="6">
        <v>0.71399999999999997</v>
      </c>
      <c r="C14" s="6">
        <v>0.71499999999999997</v>
      </c>
      <c r="D14" s="6"/>
      <c r="E14" s="1">
        <v>714</v>
      </c>
      <c r="F14" s="2">
        <v>715</v>
      </c>
      <c r="G14" s="2" t="s">
        <v>4</v>
      </c>
    </row>
    <row r="15" spans="1:10" x14ac:dyDescent="0.35">
      <c r="A15" s="5">
        <v>1914</v>
      </c>
      <c r="B15" s="6">
        <v>0.72499999999999998</v>
      </c>
      <c r="C15" s="6">
        <v>0.72599999999999998</v>
      </c>
      <c r="D15" s="6"/>
      <c r="E15" s="1">
        <v>725</v>
      </c>
      <c r="F15" s="2">
        <v>726</v>
      </c>
      <c r="G15" s="2" t="s">
        <v>4</v>
      </c>
    </row>
    <row r="16" spans="1:10" x14ac:dyDescent="0.35">
      <c r="A16" s="5">
        <v>1915</v>
      </c>
      <c r="B16" s="6">
        <v>0.68300000000000005</v>
      </c>
      <c r="C16" s="6">
        <v>0.746</v>
      </c>
      <c r="D16" s="6">
        <v>-6.3E-2</v>
      </c>
      <c r="E16" s="1">
        <v>683</v>
      </c>
      <c r="F16" s="2">
        <v>746</v>
      </c>
      <c r="G16" s="2">
        <v>-63</v>
      </c>
    </row>
    <row r="17" spans="1:7" x14ac:dyDescent="0.35">
      <c r="A17" s="5">
        <v>1916</v>
      </c>
      <c r="B17" s="6">
        <v>0.76100000000000001</v>
      </c>
      <c r="C17" s="6">
        <v>0.71299999999999997</v>
      </c>
      <c r="D17" s="6">
        <v>4.8000000000000001E-2</v>
      </c>
      <c r="E17" s="1">
        <v>761</v>
      </c>
      <c r="F17" s="2">
        <v>713</v>
      </c>
      <c r="G17" s="2">
        <v>48</v>
      </c>
    </row>
    <row r="18" spans="1:7" x14ac:dyDescent="0.35">
      <c r="A18" s="5">
        <v>1917</v>
      </c>
      <c r="B18" s="6">
        <v>1.101</v>
      </c>
      <c r="C18" s="6">
        <v>1.954</v>
      </c>
      <c r="D18" s="6">
        <v>-0.85299999999999998</v>
      </c>
      <c r="E18" s="1">
        <v>1101</v>
      </c>
      <c r="F18" s="2">
        <v>1954</v>
      </c>
      <c r="G18" s="2">
        <v>-853</v>
      </c>
    </row>
    <row r="19" spans="1:7" x14ac:dyDescent="0.35">
      <c r="A19" s="5">
        <v>1918</v>
      </c>
      <c r="B19" s="6">
        <v>3.645</v>
      </c>
      <c r="C19" s="6">
        <v>12.677</v>
      </c>
      <c r="D19" s="6">
        <v>-9.032</v>
      </c>
      <c r="E19" s="1">
        <v>3645</v>
      </c>
      <c r="F19" s="2">
        <v>12677</v>
      </c>
      <c r="G19" s="2">
        <v>-9032</v>
      </c>
    </row>
    <row r="20" spans="1:7" x14ac:dyDescent="0.35">
      <c r="A20" s="5">
        <v>1919</v>
      </c>
      <c r="B20" s="6">
        <v>5.13</v>
      </c>
      <c r="C20" s="6">
        <v>18.492999999999999</v>
      </c>
      <c r="D20" s="6">
        <v>-13.363</v>
      </c>
      <c r="E20" s="1">
        <v>5130</v>
      </c>
      <c r="F20" s="2">
        <v>18493</v>
      </c>
      <c r="G20" s="2">
        <v>-13363</v>
      </c>
    </row>
    <row r="21" spans="1:7" x14ac:dyDescent="0.35">
      <c r="A21" s="5">
        <v>1920</v>
      </c>
      <c r="B21" s="6">
        <v>6.649</v>
      </c>
      <c r="C21" s="6">
        <v>6.3579999999999997</v>
      </c>
      <c r="D21" s="6">
        <v>0.29099999999999998</v>
      </c>
      <c r="E21" s="1">
        <v>6649</v>
      </c>
      <c r="F21" s="2">
        <v>6358</v>
      </c>
      <c r="G21" s="2">
        <v>291</v>
      </c>
    </row>
    <row r="22" spans="1:7" x14ac:dyDescent="0.35">
      <c r="A22" s="5">
        <v>1921</v>
      </c>
      <c r="B22" s="6">
        <v>5.5709999999999997</v>
      </c>
      <c r="C22" s="6">
        <v>5.0620000000000003</v>
      </c>
      <c r="D22" s="6">
        <v>0.50900000000000001</v>
      </c>
      <c r="E22" s="1">
        <v>5571</v>
      </c>
      <c r="F22" s="2">
        <v>5062</v>
      </c>
      <c r="G22" s="2">
        <v>509</v>
      </c>
    </row>
    <row r="23" spans="1:7" x14ac:dyDescent="0.35">
      <c r="A23" s="5">
        <v>1922</v>
      </c>
      <c r="B23" s="6">
        <v>4.0259999999999998</v>
      </c>
      <c r="C23" s="6">
        <v>3.2890000000000001</v>
      </c>
      <c r="D23" s="6">
        <v>0.73599999999999999</v>
      </c>
      <c r="E23" s="1">
        <v>4026</v>
      </c>
      <c r="F23" s="2">
        <v>3289</v>
      </c>
      <c r="G23" s="2">
        <v>736</v>
      </c>
    </row>
    <row r="24" spans="1:7" x14ac:dyDescent="0.35">
      <c r="A24" s="5">
        <v>1923</v>
      </c>
      <c r="B24" s="6">
        <v>3.8530000000000002</v>
      </c>
      <c r="C24" s="6">
        <v>3.14</v>
      </c>
      <c r="D24" s="6">
        <v>0.71299999999999997</v>
      </c>
      <c r="E24" s="1">
        <v>3853</v>
      </c>
      <c r="F24" s="2">
        <v>3140</v>
      </c>
      <c r="G24" s="2">
        <v>713</v>
      </c>
    </row>
    <row r="25" spans="1:7" x14ac:dyDescent="0.35">
      <c r="A25" s="5">
        <v>1924</v>
      </c>
      <c r="B25" s="6">
        <v>3.871</v>
      </c>
      <c r="C25" s="6">
        <v>2.9079999999999999</v>
      </c>
      <c r="D25" s="6">
        <v>0.96299999999999997</v>
      </c>
      <c r="E25" s="1">
        <v>3871</v>
      </c>
      <c r="F25" s="2">
        <v>2908</v>
      </c>
      <c r="G25" s="2">
        <v>963</v>
      </c>
    </row>
    <row r="26" spans="1:7" x14ac:dyDescent="0.35">
      <c r="A26" s="5">
        <v>1925</v>
      </c>
      <c r="B26" s="6">
        <v>3.641</v>
      </c>
      <c r="C26" s="6">
        <v>2.9239999999999999</v>
      </c>
      <c r="D26" s="6">
        <v>0.71699999999999997</v>
      </c>
      <c r="E26" s="1">
        <v>3641</v>
      </c>
      <c r="F26" s="2">
        <v>2924</v>
      </c>
      <c r="G26" s="2">
        <v>717</v>
      </c>
    </row>
    <row r="27" spans="1:7" x14ac:dyDescent="0.35">
      <c r="A27" s="5">
        <v>1926</v>
      </c>
      <c r="B27" s="6">
        <v>3.7949999999999999</v>
      </c>
      <c r="C27" s="6">
        <v>2.93</v>
      </c>
      <c r="D27" s="6">
        <v>0.86499999999999999</v>
      </c>
      <c r="E27" s="1">
        <v>3795</v>
      </c>
      <c r="F27" s="2">
        <v>2930</v>
      </c>
      <c r="G27" s="2">
        <v>865</v>
      </c>
    </row>
    <row r="28" spans="1:7" x14ac:dyDescent="0.35">
      <c r="A28" s="5">
        <v>1927</v>
      </c>
      <c r="B28" s="6">
        <v>4.0129999999999999</v>
      </c>
      <c r="C28" s="6">
        <v>2.8570000000000002</v>
      </c>
      <c r="D28" s="6">
        <v>1.155</v>
      </c>
      <c r="E28" s="1">
        <v>4013</v>
      </c>
      <c r="F28" s="2">
        <v>2857</v>
      </c>
      <c r="G28" s="2">
        <v>1155</v>
      </c>
    </row>
    <row r="29" spans="1:7" x14ac:dyDescent="0.35">
      <c r="A29" s="5">
        <v>1928</v>
      </c>
      <c r="B29" s="6">
        <v>3.9</v>
      </c>
      <c r="C29" s="6">
        <v>2.9609999999999999</v>
      </c>
      <c r="D29" s="6">
        <v>0.93899999999999995</v>
      </c>
      <c r="E29" s="1">
        <v>3900</v>
      </c>
      <c r="F29" s="2">
        <v>2961</v>
      </c>
      <c r="G29" s="2">
        <v>939</v>
      </c>
    </row>
    <row r="30" spans="1:7" x14ac:dyDescent="0.35">
      <c r="A30" s="5">
        <v>1929</v>
      </c>
      <c r="B30" s="6">
        <v>3.8620000000000001</v>
      </c>
      <c r="C30" s="6">
        <v>3.1269999999999998</v>
      </c>
      <c r="D30" s="6">
        <v>0.73399999999999999</v>
      </c>
      <c r="E30" s="1">
        <v>3862</v>
      </c>
      <c r="F30" s="2">
        <v>3127</v>
      </c>
      <c r="G30" s="2">
        <v>734</v>
      </c>
    </row>
    <row r="31" spans="1:7" x14ac:dyDescent="0.35">
      <c r="A31" s="5">
        <v>1930</v>
      </c>
      <c r="B31" s="6">
        <v>4.0579999999999998</v>
      </c>
      <c r="C31" s="6">
        <v>3.32</v>
      </c>
      <c r="D31" s="6">
        <v>0.73799999999999999</v>
      </c>
      <c r="E31" s="1">
        <v>4058</v>
      </c>
      <c r="F31" s="2">
        <v>3320</v>
      </c>
      <c r="G31" s="2">
        <v>738</v>
      </c>
    </row>
    <row r="32" spans="1:7" x14ac:dyDescent="0.35">
      <c r="A32" s="5">
        <v>1931</v>
      </c>
      <c r="B32" s="6">
        <v>3.1160000000000001</v>
      </c>
      <c r="C32" s="6">
        <v>3.577</v>
      </c>
      <c r="D32" s="6">
        <v>-0.46200000000000002</v>
      </c>
      <c r="E32" s="1">
        <v>3116</v>
      </c>
      <c r="F32" s="2">
        <v>3577</v>
      </c>
      <c r="G32" s="2">
        <v>-462</v>
      </c>
    </row>
    <row r="33" spans="1:7" x14ac:dyDescent="0.35">
      <c r="A33" s="5">
        <v>1932</v>
      </c>
      <c r="B33" s="6">
        <v>1.9239999999999999</v>
      </c>
      <c r="C33" s="6">
        <v>4.6589999999999998</v>
      </c>
      <c r="D33" s="6">
        <v>-2.7349999999999999</v>
      </c>
      <c r="E33" s="1">
        <v>1924</v>
      </c>
      <c r="F33" s="2">
        <v>4659</v>
      </c>
      <c r="G33" s="2">
        <v>-2735</v>
      </c>
    </row>
    <row r="34" spans="1:7" x14ac:dyDescent="0.35">
      <c r="A34" s="5">
        <v>1933</v>
      </c>
      <c r="B34" s="6">
        <v>1.9970000000000001</v>
      </c>
      <c r="C34" s="6">
        <v>4.5979999999999999</v>
      </c>
      <c r="D34" s="6">
        <v>-2.6019999999999999</v>
      </c>
      <c r="E34" s="1">
        <v>1997</v>
      </c>
      <c r="F34" s="2">
        <v>4598</v>
      </c>
      <c r="G34" s="2">
        <v>-2602</v>
      </c>
    </row>
    <row r="35" spans="1:7" x14ac:dyDescent="0.35">
      <c r="A35" s="5">
        <v>1934</v>
      </c>
      <c r="B35" s="6">
        <v>2.9550000000000001</v>
      </c>
      <c r="C35" s="6">
        <v>6.5410000000000004</v>
      </c>
      <c r="D35" s="6">
        <v>-3.5859999999999999</v>
      </c>
      <c r="E35" s="1">
        <v>2955</v>
      </c>
      <c r="F35" s="2">
        <v>6541</v>
      </c>
      <c r="G35" s="2">
        <v>-3586</v>
      </c>
    </row>
    <row r="36" spans="1:7" x14ac:dyDescent="0.35">
      <c r="A36" s="5">
        <v>1935</v>
      </c>
      <c r="B36" s="6">
        <v>3.609</v>
      </c>
      <c r="C36" s="6">
        <v>6.4119999999999999</v>
      </c>
      <c r="D36" s="6">
        <v>-2.8029999999999999</v>
      </c>
      <c r="E36" s="1">
        <v>3609</v>
      </c>
      <c r="F36" s="2">
        <v>6412</v>
      </c>
      <c r="G36" s="2">
        <v>-2803</v>
      </c>
    </row>
    <row r="37" spans="1:7" x14ac:dyDescent="0.35">
      <c r="A37" s="5">
        <v>1936</v>
      </c>
      <c r="B37" s="6">
        <v>3.923</v>
      </c>
      <c r="C37" s="6">
        <v>8.2279999999999998</v>
      </c>
      <c r="D37" s="6">
        <v>-4.3040000000000003</v>
      </c>
      <c r="E37" s="1">
        <v>3923</v>
      </c>
      <c r="F37" s="2">
        <v>8228</v>
      </c>
      <c r="G37" s="2">
        <v>-4304</v>
      </c>
    </row>
    <row r="38" spans="1:7" x14ac:dyDescent="0.35">
      <c r="A38" s="5">
        <v>1937</v>
      </c>
      <c r="B38" s="6">
        <v>5.3869999999999996</v>
      </c>
      <c r="C38" s="6">
        <v>7.58</v>
      </c>
      <c r="D38" s="6">
        <v>-2.1930000000000001</v>
      </c>
      <c r="E38" s="1">
        <v>5387</v>
      </c>
      <c r="F38" s="2">
        <v>7580</v>
      </c>
      <c r="G38" s="2">
        <v>-2193</v>
      </c>
    </row>
    <row r="39" spans="1:7" x14ac:dyDescent="0.35">
      <c r="A39" s="5">
        <v>1938</v>
      </c>
      <c r="B39" s="6">
        <v>6.7510000000000003</v>
      </c>
      <c r="C39" s="6">
        <v>6.84</v>
      </c>
      <c r="D39" s="6">
        <v>-8.8999999999999996E-2</v>
      </c>
      <c r="E39" s="1">
        <v>6751</v>
      </c>
      <c r="F39" s="2">
        <v>6840</v>
      </c>
      <c r="G39" s="2">
        <v>-89</v>
      </c>
    </row>
    <row r="40" spans="1:7" x14ac:dyDescent="0.35">
      <c r="A40" s="5">
        <v>1939</v>
      </c>
      <c r="B40" s="6">
        <v>6.2949999999999999</v>
      </c>
      <c r="C40" s="6">
        <v>9.141</v>
      </c>
      <c r="D40" s="6">
        <v>-2.8460000000000001</v>
      </c>
      <c r="E40" s="1">
        <v>6295</v>
      </c>
      <c r="F40" s="2">
        <v>9141</v>
      </c>
      <c r="G40" s="2">
        <v>-2846</v>
      </c>
    </row>
    <row r="41" spans="1:7" x14ac:dyDescent="0.35">
      <c r="A41" s="5">
        <v>1940</v>
      </c>
      <c r="B41" s="6">
        <v>6.548</v>
      </c>
      <c r="C41" s="6">
        <v>9.468</v>
      </c>
      <c r="D41" s="6">
        <v>-2.92</v>
      </c>
      <c r="E41" s="1">
        <v>6548</v>
      </c>
      <c r="F41" s="2">
        <v>9468</v>
      </c>
      <c r="G41" s="2">
        <v>-2920</v>
      </c>
    </row>
    <row r="42" spans="1:7" x14ac:dyDescent="0.35">
      <c r="A42" s="5">
        <v>1941</v>
      </c>
      <c r="B42" s="6">
        <v>8.7119999999999997</v>
      </c>
      <c r="C42" s="6">
        <v>13.653</v>
      </c>
      <c r="D42" s="6">
        <v>-4.9409999999999998</v>
      </c>
      <c r="E42" s="1">
        <v>8712</v>
      </c>
      <c r="F42" s="2">
        <v>13653</v>
      </c>
      <c r="G42" s="2">
        <v>-4941</v>
      </c>
    </row>
    <row r="43" spans="1:7" x14ac:dyDescent="0.35">
      <c r="A43" s="5">
        <v>1942</v>
      </c>
      <c r="B43" s="6">
        <v>14.634</v>
      </c>
      <c r="C43" s="6">
        <v>35.137</v>
      </c>
      <c r="D43" s="6">
        <v>-20.503</v>
      </c>
      <c r="E43" s="1">
        <v>14634</v>
      </c>
      <c r="F43" s="2">
        <v>35137</v>
      </c>
      <c r="G43" s="2">
        <v>-20503</v>
      </c>
    </row>
    <row r="44" spans="1:7" x14ac:dyDescent="0.35">
      <c r="A44" s="5">
        <v>1943</v>
      </c>
      <c r="B44" s="6">
        <v>24.001000000000001</v>
      </c>
      <c r="C44" s="6">
        <v>78.555000000000007</v>
      </c>
      <c r="D44" s="6">
        <v>-54.554000000000002</v>
      </c>
      <c r="E44" s="1">
        <v>24001</v>
      </c>
      <c r="F44" s="2">
        <v>78555</v>
      </c>
      <c r="G44" s="2">
        <v>-54554</v>
      </c>
    </row>
    <row r="45" spans="1:7" x14ac:dyDescent="0.35">
      <c r="A45" s="5">
        <v>1944</v>
      </c>
      <c r="B45" s="6">
        <v>43.747</v>
      </c>
      <c r="C45" s="6">
        <v>91.304000000000002</v>
      </c>
      <c r="D45" s="6">
        <v>-47.557000000000002</v>
      </c>
      <c r="E45" s="1">
        <v>43747</v>
      </c>
      <c r="F45" s="2">
        <v>91304</v>
      </c>
      <c r="G45" s="2">
        <v>-47557</v>
      </c>
    </row>
    <row r="46" spans="1:7" x14ac:dyDescent="0.35">
      <c r="A46" s="5">
        <v>1945</v>
      </c>
      <c r="B46" s="6">
        <v>45.158999999999999</v>
      </c>
      <c r="C46" s="6">
        <v>92.712000000000003</v>
      </c>
      <c r="D46" s="6">
        <v>-47.552999999999997</v>
      </c>
      <c r="E46" s="1">
        <v>45159</v>
      </c>
      <c r="F46" s="2">
        <v>92712</v>
      </c>
      <c r="G46" s="2">
        <v>-47553</v>
      </c>
    </row>
    <row r="47" spans="1:7" x14ac:dyDescent="0.35">
      <c r="A47" s="5">
        <v>1946</v>
      </c>
      <c r="B47" s="6">
        <v>39.295999999999999</v>
      </c>
      <c r="C47" s="6">
        <v>55.231999999999999</v>
      </c>
      <c r="D47" s="6">
        <v>-15.936</v>
      </c>
      <c r="E47" s="1">
        <v>39296</v>
      </c>
      <c r="F47" s="2">
        <v>55232</v>
      </c>
      <c r="G47" s="2">
        <v>-15936</v>
      </c>
    </row>
    <row r="48" spans="1:7" x14ac:dyDescent="0.35">
      <c r="A48" s="5">
        <v>1947</v>
      </c>
      <c r="B48" s="6">
        <v>38.514000000000003</v>
      </c>
      <c r="C48" s="6">
        <v>34.496000000000002</v>
      </c>
      <c r="D48" s="6">
        <v>4.0179999999999998</v>
      </c>
      <c r="E48" s="1">
        <v>38514</v>
      </c>
      <c r="F48" s="2">
        <v>34496</v>
      </c>
      <c r="G48" s="2">
        <v>4018</v>
      </c>
    </row>
    <row r="49" spans="1:7" x14ac:dyDescent="0.35">
      <c r="A49" s="5">
        <v>1948</v>
      </c>
      <c r="B49" s="6">
        <v>41.56</v>
      </c>
      <c r="C49" s="6">
        <v>29.763999999999999</v>
      </c>
      <c r="D49" s="6">
        <v>11.795999999999999</v>
      </c>
      <c r="E49" s="1">
        <v>41560</v>
      </c>
      <c r="F49" s="2">
        <v>29764</v>
      </c>
      <c r="G49" s="2">
        <v>11796</v>
      </c>
    </row>
    <row r="50" spans="1:7" x14ac:dyDescent="0.35">
      <c r="A50" s="5">
        <v>1949</v>
      </c>
      <c r="B50" s="6">
        <v>39.414999999999999</v>
      </c>
      <c r="C50" s="6">
        <v>38.835000000000001</v>
      </c>
      <c r="D50" s="6">
        <v>0.57999999999999996</v>
      </c>
      <c r="E50" s="1">
        <v>39415</v>
      </c>
      <c r="F50" s="2">
        <v>38835</v>
      </c>
      <c r="G50" s="2">
        <v>580</v>
      </c>
    </row>
    <row r="51" spans="1:7" x14ac:dyDescent="0.35">
      <c r="A51" s="5">
        <v>1950</v>
      </c>
      <c r="B51" s="6">
        <v>39.442999999999998</v>
      </c>
      <c r="C51" s="6">
        <v>42.561999999999998</v>
      </c>
      <c r="D51" s="6">
        <v>-3.1190000000000002</v>
      </c>
      <c r="E51" s="1">
        <v>39443</v>
      </c>
      <c r="F51" s="2">
        <v>42562</v>
      </c>
      <c r="G51" s="2">
        <v>-3119</v>
      </c>
    </row>
    <row r="52" spans="1:7" x14ac:dyDescent="0.35">
      <c r="A52" s="5">
        <v>1951</v>
      </c>
      <c r="B52" s="6">
        <v>51.616</v>
      </c>
      <c r="C52" s="6">
        <v>45.514000000000003</v>
      </c>
      <c r="D52" s="6">
        <v>6.1020000000000003</v>
      </c>
      <c r="E52" s="1">
        <v>51616</v>
      </c>
      <c r="F52" s="2">
        <v>45514</v>
      </c>
      <c r="G52" s="2">
        <v>6102</v>
      </c>
    </row>
    <row r="53" spans="1:7" x14ac:dyDescent="0.35">
      <c r="A53" s="5">
        <v>1952</v>
      </c>
      <c r="B53" s="6">
        <v>66.167000000000002</v>
      </c>
      <c r="C53" s="6">
        <v>67.686000000000007</v>
      </c>
      <c r="D53" s="6">
        <v>-1.5189999999999999</v>
      </c>
      <c r="E53" s="1">
        <v>66167</v>
      </c>
      <c r="F53" s="2">
        <v>67686</v>
      </c>
      <c r="G53" s="2">
        <v>-1519</v>
      </c>
    </row>
    <row r="54" spans="1:7" x14ac:dyDescent="0.35">
      <c r="A54" s="5">
        <v>1953</v>
      </c>
      <c r="B54" s="6">
        <v>69.608000000000004</v>
      </c>
      <c r="C54" s="6">
        <v>76.100999999999999</v>
      </c>
      <c r="D54" s="6">
        <v>-6.4930000000000003</v>
      </c>
      <c r="E54" s="1">
        <v>69608</v>
      </c>
      <c r="F54" s="2">
        <v>76101</v>
      </c>
      <c r="G54" s="2">
        <v>-6493</v>
      </c>
    </row>
    <row r="55" spans="1:7" x14ac:dyDescent="0.35">
      <c r="A55" s="5">
        <v>1954</v>
      </c>
      <c r="B55" s="6">
        <v>69.700999999999993</v>
      </c>
      <c r="C55" s="6">
        <v>70.855000000000004</v>
      </c>
      <c r="D55" s="6">
        <v>-1.1539999999999999</v>
      </c>
      <c r="E55" s="1">
        <v>69701</v>
      </c>
      <c r="F55" s="2">
        <v>70855</v>
      </c>
      <c r="G55" s="2">
        <v>-1154</v>
      </c>
    </row>
    <row r="56" spans="1:7" x14ac:dyDescent="0.35">
      <c r="A56" s="5">
        <v>1955</v>
      </c>
      <c r="B56" s="6">
        <v>65.450999999999993</v>
      </c>
      <c r="C56" s="6">
        <v>68.444000000000003</v>
      </c>
      <c r="D56" s="6">
        <v>-2.9929999999999999</v>
      </c>
      <c r="E56" s="1">
        <v>65451</v>
      </c>
      <c r="F56" s="2">
        <v>68444</v>
      </c>
      <c r="G56" s="2">
        <v>-2993</v>
      </c>
    </row>
    <row r="57" spans="1:7" x14ac:dyDescent="0.35">
      <c r="A57" s="5">
        <v>1956</v>
      </c>
      <c r="B57" s="6">
        <v>74.587000000000003</v>
      </c>
      <c r="C57" s="6">
        <v>70.64</v>
      </c>
      <c r="D57" s="6">
        <v>3.9470000000000001</v>
      </c>
      <c r="E57" s="1">
        <v>74587</v>
      </c>
      <c r="F57" s="2">
        <v>70640</v>
      </c>
      <c r="G57" s="2">
        <v>3947</v>
      </c>
    </row>
    <row r="58" spans="1:7" x14ac:dyDescent="0.35">
      <c r="A58" s="5">
        <v>1957</v>
      </c>
      <c r="B58" s="6">
        <v>79.989999999999995</v>
      </c>
      <c r="C58" s="6">
        <v>76.578000000000003</v>
      </c>
      <c r="D58" s="6">
        <v>3.4119999999999999</v>
      </c>
      <c r="E58" s="1">
        <v>79990</v>
      </c>
      <c r="F58" s="2">
        <v>76578</v>
      </c>
      <c r="G58" s="2">
        <v>3412</v>
      </c>
    </row>
    <row r="59" spans="1:7" x14ac:dyDescent="0.35">
      <c r="A59" s="5">
        <v>1958</v>
      </c>
      <c r="B59" s="6">
        <v>79.635999999999996</v>
      </c>
      <c r="C59" s="6">
        <v>82.405000000000001</v>
      </c>
      <c r="D59" s="6">
        <v>-2.7690000000000001</v>
      </c>
      <c r="E59" s="1">
        <v>79636</v>
      </c>
      <c r="F59" s="2">
        <v>82405</v>
      </c>
      <c r="G59" s="2">
        <v>-2769</v>
      </c>
    </row>
    <row r="60" spans="1:7" x14ac:dyDescent="0.35">
      <c r="A60" s="5">
        <v>1959</v>
      </c>
      <c r="B60" s="6">
        <v>79.248999999999995</v>
      </c>
      <c r="C60" s="6">
        <v>92.097999999999999</v>
      </c>
      <c r="D60" s="6">
        <v>-12.849</v>
      </c>
      <c r="E60" s="1">
        <v>79249</v>
      </c>
      <c r="F60" s="2">
        <v>92098</v>
      </c>
      <c r="G60" s="2">
        <v>-12849</v>
      </c>
    </row>
    <row r="61" spans="1:7" x14ac:dyDescent="0.35">
      <c r="A61" s="5">
        <v>1960</v>
      </c>
      <c r="B61" s="6">
        <v>92.492000000000004</v>
      </c>
      <c r="C61" s="6">
        <v>92.191000000000003</v>
      </c>
      <c r="D61" s="6">
        <v>0.30099999999999999</v>
      </c>
      <c r="E61" s="1">
        <v>92492</v>
      </c>
      <c r="F61" s="2">
        <v>92191</v>
      </c>
      <c r="G61" s="2">
        <v>301</v>
      </c>
    </row>
    <row r="62" spans="1:7" x14ac:dyDescent="0.35">
      <c r="A62" s="5">
        <v>1961</v>
      </c>
      <c r="B62" s="6">
        <v>94.388000000000005</v>
      </c>
      <c r="C62" s="6">
        <v>97.722999999999999</v>
      </c>
      <c r="D62" s="6">
        <v>-3.335</v>
      </c>
      <c r="E62" s="1">
        <v>94388</v>
      </c>
      <c r="F62" s="2">
        <v>97723</v>
      </c>
      <c r="G62" s="2">
        <v>-3335</v>
      </c>
    </row>
    <row r="63" spans="1:7" x14ac:dyDescent="0.35">
      <c r="A63" s="5">
        <v>1962</v>
      </c>
      <c r="B63" s="6">
        <v>99.676000000000002</v>
      </c>
      <c r="C63" s="6">
        <v>106.821</v>
      </c>
      <c r="D63" s="6">
        <v>-7.1459999999999999</v>
      </c>
      <c r="E63" s="1">
        <v>99676</v>
      </c>
      <c r="F63" s="2">
        <v>106821</v>
      </c>
      <c r="G63" s="2">
        <v>-7146</v>
      </c>
    </row>
    <row r="64" spans="1:7" x14ac:dyDescent="0.35">
      <c r="A64" s="5">
        <v>1963</v>
      </c>
      <c r="B64" s="6">
        <v>106.56</v>
      </c>
      <c r="C64" s="6">
        <v>111.316</v>
      </c>
      <c r="D64" s="6">
        <v>-4.7560000000000002</v>
      </c>
      <c r="E64" s="1">
        <v>106560</v>
      </c>
      <c r="F64" s="2">
        <v>111316</v>
      </c>
      <c r="G64" s="2">
        <v>-4756</v>
      </c>
    </row>
    <row r="65" spans="1:7" x14ac:dyDescent="0.35">
      <c r="A65" s="5">
        <v>1964</v>
      </c>
      <c r="B65" s="6">
        <v>112.613</v>
      </c>
      <c r="C65" s="6">
        <v>118.52800000000001</v>
      </c>
      <c r="D65" s="6">
        <v>-5.915</v>
      </c>
      <c r="E65" s="1">
        <v>112613</v>
      </c>
      <c r="F65" s="2">
        <v>118528</v>
      </c>
      <c r="G65" s="2">
        <v>-5915</v>
      </c>
    </row>
    <row r="66" spans="1:7" x14ac:dyDescent="0.35">
      <c r="A66" s="5">
        <v>1965</v>
      </c>
      <c r="B66" s="6">
        <v>116.81699999999999</v>
      </c>
      <c r="C66" s="6">
        <v>118.22799999999999</v>
      </c>
      <c r="D66" s="6">
        <v>-1.411</v>
      </c>
      <c r="E66" s="1">
        <v>116817</v>
      </c>
      <c r="F66" s="2">
        <v>118228</v>
      </c>
      <c r="G66" s="2">
        <v>-1411</v>
      </c>
    </row>
    <row r="67" spans="1:7" x14ac:dyDescent="0.35">
      <c r="A67" s="5">
        <v>1966</v>
      </c>
      <c r="B67" s="6">
        <v>130.83500000000001</v>
      </c>
      <c r="C67" s="6">
        <v>134.53200000000001</v>
      </c>
      <c r="D67" s="6">
        <v>-3.698</v>
      </c>
      <c r="E67" s="1">
        <v>130835</v>
      </c>
      <c r="F67" s="2">
        <v>134532</v>
      </c>
      <c r="G67" s="2">
        <v>-3698</v>
      </c>
    </row>
    <row r="68" spans="1:7" x14ac:dyDescent="0.35">
      <c r="A68" s="5">
        <v>1967</v>
      </c>
      <c r="B68" s="6">
        <v>148.822</v>
      </c>
      <c r="C68" s="6">
        <v>157.464</v>
      </c>
      <c r="D68" s="6">
        <v>-8.6430000000000007</v>
      </c>
      <c r="E68" s="1">
        <v>148822</v>
      </c>
      <c r="F68" s="2">
        <v>157464</v>
      </c>
      <c r="G68" s="2">
        <v>-8643</v>
      </c>
    </row>
    <row r="69" spans="1:7" x14ac:dyDescent="0.35">
      <c r="A69" s="5">
        <v>1968</v>
      </c>
      <c r="B69" s="6">
        <v>152.97300000000001</v>
      </c>
      <c r="C69" s="6">
        <v>178.13399999999999</v>
      </c>
      <c r="D69" s="6">
        <v>-25.161000000000001</v>
      </c>
      <c r="E69" s="1">
        <v>152973</v>
      </c>
      <c r="F69" s="2">
        <v>178134</v>
      </c>
      <c r="G69" s="2">
        <v>-25161</v>
      </c>
    </row>
    <row r="70" spans="1:7" x14ac:dyDescent="0.35">
      <c r="A70" s="5">
        <v>1969</v>
      </c>
      <c r="B70" s="6">
        <v>186.88200000000001</v>
      </c>
      <c r="C70" s="6">
        <v>183.64</v>
      </c>
      <c r="D70" s="6">
        <v>3.242</v>
      </c>
      <c r="E70" s="1">
        <v>186882</v>
      </c>
      <c r="F70" s="2">
        <v>183640</v>
      </c>
      <c r="G70" s="2">
        <v>3242</v>
      </c>
    </row>
    <row r="71" spans="1:7" x14ac:dyDescent="0.35">
      <c r="A71" s="5">
        <v>1970</v>
      </c>
      <c r="B71" s="6">
        <v>192.80699999999999</v>
      </c>
      <c r="C71" s="6">
        <v>195.649</v>
      </c>
      <c r="D71" s="6">
        <v>-2.8420000000000001</v>
      </c>
      <c r="E71" s="1">
        <v>192807</v>
      </c>
      <c r="F71" s="2">
        <v>195649</v>
      </c>
      <c r="G71" s="2">
        <v>-2842</v>
      </c>
    </row>
    <row r="72" spans="1:7" x14ac:dyDescent="0.35">
      <c r="A72" s="5">
        <v>1971</v>
      </c>
      <c r="B72" s="6">
        <v>187.13900000000001</v>
      </c>
      <c r="C72" s="6">
        <v>210.172</v>
      </c>
      <c r="D72" s="6">
        <v>-23.033000000000001</v>
      </c>
      <c r="E72" s="1">
        <v>187139</v>
      </c>
      <c r="F72" s="2">
        <v>210172</v>
      </c>
      <c r="G72" s="2">
        <v>-23033</v>
      </c>
    </row>
    <row r="73" spans="1:7" x14ac:dyDescent="0.35">
      <c r="A73" s="5">
        <v>1972</v>
      </c>
      <c r="B73" s="6">
        <v>207.309</v>
      </c>
      <c r="C73" s="6">
        <v>230.68100000000001</v>
      </c>
      <c r="D73" s="6">
        <v>-23.373000000000001</v>
      </c>
      <c r="E73" s="1">
        <v>207309</v>
      </c>
      <c r="F73" s="2">
        <v>230681</v>
      </c>
      <c r="G73" s="2">
        <v>-23373</v>
      </c>
    </row>
    <row r="74" spans="1:7" x14ac:dyDescent="0.35">
      <c r="A74" s="5">
        <v>1973</v>
      </c>
      <c r="B74" s="6">
        <v>230.79900000000001</v>
      </c>
      <c r="C74" s="6">
        <v>245.70699999999999</v>
      </c>
      <c r="D74" s="6">
        <v>-14.907999999999999</v>
      </c>
      <c r="E74" s="1">
        <v>230799</v>
      </c>
      <c r="F74" s="2">
        <v>245707</v>
      </c>
      <c r="G74" s="2">
        <v>-14908</v>
      </c>
    </row>
    <row r="75" spans="1:7" x14ac:dyDescent="0.35">
      <c r="A75" s="5">
        <v>1974</v>
      </c>
      <c r="B75" s="6">
        <v>263.22399999999999</v>
      </c>
      <c r="C75" s="6">
        <v>269.35899999999998</v>
      </c>
      <c r="D75" s="6">
        <v>-6.1349999999999998</v>
      </c>
      <c r="E75" s="1">
        <v>263224</v>
      </c>
      <c r="F75" s="2">
        <v>269359</v>
      </c>
      <c r="G75" s="2">
        <v>-6135</v>
      </c>
    </row>
    <row r="76" spans="1:7" x14ac:dyDescent="0.35">
      <c r="A76" s="5">
        <v>1975</v>
      </c>
      <c r="B76" s="6">
        <v>279.08999999999997</v>
      </c>
      <c r="C76" s="6">
        <v>332.33199999999999</v>
      </c>
      <c r="D76" s="6">
        <v>-53.241999999999997</v>
      </c>
      <c r="E76" s="1">
        <v>279090</v>
      </c>
      <c r="F76" s="2">
        <v>332332</v>
      </c>
      <c r="G76" s="2">
        <v>-53242</v>
      </c>
    </row>
    <row r="77" spans="1:7" x14ac:dyDescent="0.35">
      <c r="A77" s="5">
        <v>1976</v>
      </c>
      <c r="B77" s="6">
        <v>298.06</v>
      </c>
      <c r="C77" s="6">
        <v>371.79199999999997</v>
      </c>
      <c r="D77" s="6">
        <v>-73.731999999999999</v>
      </c>
      <c r="E77" s="1">
        <v>298060</v>
      </c>
      <c r="F77" s="2">
        <v>371792</v>
      </c>
      <c r="G77" s="2">
        <v>-73732</v>
      </c>
    </row>
    <row r="78" spans="1:7" x14ac:dyDescent="0.35">
      <c r="A78" s="5">
        <v>1977</v>
      </c>
      <c r="B78" s="6">
        <v>355.55900000000003</v>
      </c>
      <c r="C78" s="6">
        <v>409.21800000000002</v>
      </c>
      <c r="D78" s="6">
        <v>-53.658999999999999</v>
      </c>
      <c r="E78" s="1">
        <v>355559</v>
      </c>
      <c r="F78" s="2">
        <v>409218</v>
      </c>
      <c r="G78" s="2">
        <v>-53659</v>
      </c>
    </row>
    <row r="79" spans="1:7" x14ac:dyDescent="0.35">
      <c r="A79" s="5">
        <v>1978</v>
      </c>
      <c r="B79" s="6">
        <v>399.56099999999998</v>
      </c>
      <c r="C79" s="6">
        <v>458.74599999999998</v>
      </c>
      <c r="D79" s="6">
        <v>-59.185000000000002</v>
      </c>
      <c r="E79" s="1">
        <v>399561</v>
      </c>
      <c r="F79" s="2">
        <v>458746</v>
      </c>
      <c r="G79" s="2">
        <v>-59185</v>
      </c>
    </row>
    <row r="80" spans="1:7" x14ac:dyDescent="0.35">
      <c r="A80" s="5">
        <v>1979</v>
      </c>
      <c r="B80" s="6">
        <v>463.30200000000002</v>
      </c>
      <c r="C80" s="6">
        <v>504.02800000000002</v>
      </c>
      <c r="D80" s="6">
        <v>-40.725999999999999</v>
      </c>
      <c r="E80" s="1">
        <v>463302</v>
      </c>
      <c r="F80" s="2">
        <v>504028</v>
      </c>
      <c r="G80" s="2">
        <v>-40726</v>
      </c>
    </row>
    <row r="81" spans="1:7" x14ac:dyDescent="0.35">
      <c r="A81" s="5">
        <v>1980</v>
      </c>
      <c r="B81" s="6">
        <v>517.11199999999997</v>
      </c>
      <c r="C81" s="6">
        <v>590.94100000000003</v>
      </c>
      <c r="D81" s="6">
        <v>-73.83</v>
      </c>
      <c r="E81" s="1">
        <v>517112</v>
      </c>
      <c r="F81" s="2">
        <v>590941</v>
      </c>
      <c r="G81" s="2">
        <v>-73830</v>
      </c>
    </row>
    <row r="82" spans="1:7" x14ac:dyDescent="0.35">
      <c r="A82" s="5">
        <v>1981</v>
      </c>
      <c r="B82" s="6">
        <v>599.27200000000005</v>
      </c>
      <c r="C82" s="6">
        <v>678.24099999999999</v>
      </c>
      <c r="D82" s="6">
        <v>-78.968000000000004</v>
      </c>
      <c r="E82" s="1">
        <v>599272</v>
      </c>
      <c r="F82" s="2">
        <v>678241</v>
      </c>
      <c r="G82" s="2">
        <v>-78968</v>
      </c>
    </row>
    <row r="83" spans="1:7" x14ac:dyDescent="0.35">
      <c r="A83" s="5">
        <v>1982</v>
      </c>
      <c r="B83" s="6">
        <v>617.76599999999996</v>
      </c>
      <c r="C83" s="6">
        <v>745.74300000000005</v>
      </c>
      <c r="D83" s="6">
        <v>-127.977</v>
      </c>
      <c r="E83" s="1">
        <v>617766</v>
      </c>
      <c r="F83" s="2">
        <v>745743</v>
      </c>
      <c r="G83" s="2">
        <v>-127977</v>
      </c>
    </row>
    <row r="84" spans="1:7" x14ac:dyDescent="0.35">
      <c r="A84" s="5">
        <v>1983</v>
      </c>
      <c r="B84" s="6">
        <v>600.56200000000001</v>
      </c>
      <c r="C84" s="6">
        <v>808.36400000000003</v>
      </c>
      <c r="D84" s="6">
        <v>-207.80199999999999</v>
      </c>
      <c r="E84" s="1">
        <v>600562</v>
      </c>
      <c r="F84" s="2">
        <v>808364</v>
      </c>
      <c r="G84" s="2">
        <v>-207802</v>
      </c>
    </row>
    <row r="85" spans="1:7" x14ac:dyDescent="0.35">
      <c r="A85" s="5">
        <v>1984</v>
      </c>
      <c r="B85" s="6">
        <v>666.43799999999999</v>
      </c>
      <c r="C85" s="6">
        <v>851.80499999999995</v>
      </c>
      <c r="D85" s="6">
        <v>-185.36699999999999</v>
      </c>
      <c r="E85" s="1">
        <v>666438</v>
      </c>
      <c r="F85" s="2">
        <v>851805</v>
      </c>
      <c r="G85" s="2">
        <v>-185367</v>
      </c>
    </row>
    <row r="86" spans="1:7" x14ac:dyDescent="0.35">
      <c r="A86" s="5">
        <v>1985</v>
      </c>
      <c r="B86" s="6">
        <v>734.03700000000003</v>
      </c>
      <c r="C86" s="6">
        <v>946.34400000000005</v>
      </c>
      <c r="D86" s="6">
        <v>-212.30799999999999</v>
      </c>
      <c r="E86" s="1">
        <v>734037</v>
      </c>
      <c r="F86" s="2">
        <v>946344</v>
      </c>
      <c r="G86" s="2">
        <v>-212308</v>
      </c>
    </row>
    <row r="87" spans="1:7" x14ac:dyDescent="0.35">
      <c r="A87" s="5">
        <v>1986</v>
      </c>
      <c r="B87" s="6">
        <v>769.15499999999997</v>
      </c>
      <c r="C87" s="6">
        <v>990.38199999999995</v>
      </c>
      <c r="D87" s="6">
        <v>-221.227</v>
      </c>
      <c r="E87" s="1">
        <v>769155</v>
      </c>
      <c r="F87" s="2">
        <v>990382</v>
      </c>
      <c r="G87" s="2">
        <v>-221227</v>
      </c>
    </row>
    <row r="88" spans="1:7" x14ac:dyDescent="0.35">
      <c r="A88" s="5">
        <v>1987</v>
      </c>
      <c r="B88" s="6">
        <v>854.28700000000003</v>
      </c>
      <c r="C88" s="6">
        <v>1004.0170000000001</v>
      </c>
      <c r="D88" s="6">
        <v>-149.72999999999999</v>
      </c>
      <c r="E88" s="1">
        <v>854287</v>
      </c>
      <c r="F88" s="2">
        <v>1004017</v>
      </c>
      <c r="G88" s="2">
        <v>-149730</v>
      </c>
    </row>
    <row r="89" spans="1:7" x14ac:dyDescent="0.35">
      <c r="A89" s="5">
        <v>1988</v>
      </c>
      <c r="B89" s="6">
        <v>909.23800000000006</v>
      </c>
      <c r="C89" s="6">
        <v>1064.4159999999999</v>
      </c>
      <c r="D89" s="6">
        <v>-155.178</v>
      </c>
      <c r="E89" s="1">
        <v>909238</v>
      </c>
      <c r="F89" s="2">
        <v>1064416</v>
      </c>
      <c r="G89" s="2">
        <v>-155178</v>
      </c>
    </row>
    <row r="90" spans="1:7" x14ac:dyDescent="0.35">
      <c r="A90" s="5">
        <v>1989</v>
      </c>
      <c r="B90" s="6">
        <v>991.10400000000004</v>
      </c>
      <c r="C90" s="6">
        <v>1143.7429999999999</v>
      </c>
      <c r="D90" s="6">
        <v>-152.63900000000001</v>
      </c>
      <c r="E90" s="1">
        <v>991104</v>
      </c>
      <c r="F90" s="2">
        <v>1143743</v>
      </c>
      <c r="G90" s="2">
        <v>-152639</v>
      </c>
    </row>
    <row r="91" spans="1:7" x14ac:dyDescent="0.35">
      <c r="A91" s="5">
        <v>1990</v>
      </c>
      <c r="B91" s="6">
        <v>1031.9580000000001</v>
      </c>
      <c r="C91" s="6">
        <v>1252.9929999999999</v>
      </c>
      <c r="D91" s="6">
        <v>-221.036</v>
      </c>
      <c r="E91" s="1">
        <v>1031958</v>
      </c>
      <c r="F91" s="2">
        <v>1252993</v>
      </c>
      <c r="G91" s="2">
        <v>-221036</v>
      </c>
    </row>
    <row r="92" spans="1:7" x14ac:dyDescent="0.35">
      <c r="A92" s="5">
        <v>1991</v>
      </c>
      <c r="B92" s="6">
        <v>1054.9880000000001</v>
      </c>
      <c r="C92" s="6">
        <v>1324.2260000000001</v>
      </c>
      <c r="D92" s="6">
        <v>-269.238</v>
      </c>
      <c r="E92" s="1">
        <v>1054988</v>
      </c>
      <c r="F92" s="2">
        <v>1324226</v>
      </c>
      <c r="G92" s="2">
        <v>-269238</v>
      </c>
    </row>
    <row r="93" spans="1:7" x14ac:dyDescent="0.35">
      <c r="A93" s="5">
        <v>1992</v>
      </c>
      <c r="B93" s="6">
        <v>1091.2080000000001</v>
      </c>
      <c r="C93" s="6">
        <v>1381.529</v>
      </c>
      <c r="D93" s="6">
        <v>-290.32100000000003</v>
      </c>
      <c r="E93" s="1">
        <v>1091208</v>
      </c>
      <c r="F93" s="2">
        <v>1381529</v>
      </c>
      <c r="G93" s="2">
        <v>-290321</v>
      </c>
    </row>
    <row r="94" spans="1:7" x14ac:dyDescent="0.35">
      <c r="A94" s="5">
        <v>1993</v>
      </c>
      <c r="B94" s="6">
        <v>1154.3340000000001</v>
      </c>
      <c r="C94" s="6">
        <v>1409.386</v>
      </c>
      <c r="D94" s="6">
        <v>-255.05099999999999</v>
      </c>
      <c r="E94" s="1">
        <v>1154334</v>
      </c>
      <c r="F94" s="2">
        <v>1409386</v>
      </c>
      <c r="G94" s="2">
        <v>-255051</v>
      </c>
    </row>
    <row r="95" spans="1:7" x14ac:dyDescent="0.35">
      <c r="A95" s="5">
        <v>1994</v>
      </c>
      <c r="B95" s="6">
        <v>1258.566</v>
      </c>
      <c r="C95" s="6">
        <v>1461.752</v>
      </c>
      <c r="D95" s="6">
        <v>-203.18600000000001</v>
      </c>
      <c r="E95" s="1">
        <v>1258566</v>
      </c>
      <c r="F95" s="2">
        <v>1461752</v>
      </c>
      <c r="G95" s="2">
        <v>-203186</v>
      </c>
    </row>
    <row r="96" spans="1:7" x14ac:dyDescent="0.35">
      <c r="A96" s="5">
        <v>1995</v>
      </c>
      <c r="B96" s="6">
        <v>1351.79</v>
      </c>
      <c r="C96" s="6">
        <v>1515.742</v>
      </c>
      <c r="D96" s="6">
        <v>-163.952</v>
      </c>
      <c r="E96" s="1">
        <v>1351790</v>
      </c>
      <c r="F96" s="2">
        <v>1515742</v>
      </c>
      <c r="G96" s="2">
        <v>-163952</v>
      </c>
    </row>
    <row r="97" spans="1:7" x14ac:dyDescent="0.35">
      <c r="A97" s="5">
        <v>1996</v>
      </c>
      <c r="B97" s="6">
        <v>1453.0530000000001</v>
      </c>
      <c r="C97" s="6">
        <v>1560.4839999999999</v>
      </c>
      <c r="D97" s="6">
        <v>-107.431</v>
      </c>
      <c r="E97" s="1">
        <v>1453053</v>
      </c>
      <c r="F97" s="2">
        <v>1560484</v>
      </c>
      <c r="G97" s="2">
        <v>-107431</v>
      </c>
    </row>
    <row r="98" spans="1:7" x14ac:dyDescent="0.35">
      <c r="A98" s="5">
        <v>1997</v>
      </c>
      <c r="B98" s="6">
        <v>1579.232</v>
      </c>
      <c r="C98" s="6">
        <v>1601.116</v>
      </c>
      <c r="D98" s="6">
        <v>-21.884</v>
      </c>
      <c r="E98" s="1">
        <v>1579232</v>
      </c>
      <c r="F98" s="2">
        <v>1601116</v>
      </c>
      <c r="G98" s="2">
        <v>-21884</v>
      </c>
    </row>
    <row r="99" spans="1:7" x14ac:dyDescent="0.35">
      <c r="A99" s="5">
        <v>1998</v>
      </c>
      <c r="B99" s="6">
        <v>1721.7280000000001</v>
      </c>
      <c r="C99" s="6">
        <v>1652.4580000000001</v>
      </c>
      <c r="D99" s="6">
        <v>69.27</v>
      </c>
      <c r="E99" s="1">
        <v>1721728</v>
      </c>
      <c r="F99" s="2">
        <v>1652458</v>
      </c>
      <c r="G99" s="2">
        <v>69270</v>
      </c>
    </row>
    <row r="100" spans="1:7" x14ac:dyDescent="0.35">
      <c r="A100" s="5">
        <v>1999</v>
      </c>
      <c r="B100" s="6">
        <v>1827.452</v>
      </c>
      <c r="C100" s="6">
        <v>1701.8420000000001</v>
      </c>
      <c r="D100" s="6">
        <v>125.61</v>
      </c>
      <c r="E100" s="1">
        <v>1827452</v>
      </c>
      <c r="F100" s="2">
        <v>1701842</v>
      </c>
      <c r="G100" s="2">
        <v>125610</v>
      </c>
    </row>
    <row r="101" spans="1:7" x14ac:dyDescent="0.35">
      <c r="A101" s="5">
        <v>2000</v>
      </c>
      <c r="B101" s="6">
        <v>2025.191</v>
      </c>
      <c r="C101" s="6">
        <v>1788.95</v>
      </c>
      <c r="D101" s="6">
        <v>236.24100000000001</v>
      </c>
      <c r="E101" s="1">
        <v>2025191</v>
      </c>
      <c r="F101" s="2">
        <v>1788950</v>
      </c>
      <c r="G101" s="2">
        <v>236241</v>
      </c>
    </row>
    <row r="102" spans="1:7" x14ac:dyDescent="0.35">
      <c r="A102" s="5">
        <v>2001</v>
      </c>
      <c r="B102" s="6">
        <v>1991.0820000000001</v>
      </c>
      <c r="C102" s="6">
        <v>1862.846</v>
      </c>
      <c r="D102" s="6">
        <v>128.23599999999999</v>
      </c>
      <c r="E102" s="1">
        <v>1991082</v>
      </c>
      <c r="F102" s="2">
        <v>1862846</v>
      </c>
      <c r="G102" s="2">
        <v>128236</v>
      </c>
    </row>
    <row r="103" spans="1:7" x14ac:dyDescent="0.35">
      <c r="A103" s="5">
        <v>2002</v>
      </c>
      <c r="B103" s="6">
        <v>1853.136</v>
      </c>
      <c r="C103" s="6">
        <v>2010.894</v>
      </c>
      <c r="D103" s="6">
        <v>-157.75800000000001</v>
      </c>
      <c r="E103" s="1">
        <v>1853136</v>
      </c>
      <c r="F103" s="2">
        <v>2010894</v>
      </c>
      <c r="G103" s="2">
        <v>-157758</v>
      </c>
    </row>
    <row r="104" spans="1:7" x14ac:dyDescent="0.35">
      <c r="A104" s="5">
        <v>2003</v>
      </c>
      <c r="B104" s="6">
        <v>1782.3140000000001</v>
      </c>
      <c r="C104" s="6">
        <v>2159.8989999999999</v>
      </c>
      <c r="D104" s="6">
        <v>-377.58499999999998</v>
      </c>
      <c r="E104" s="1">
        <v>1782314</v>
      </c>
      <c r="F104" s="2">
        <v>2159899</v>
      </c>
      <c r="G104" s="2">
        <v>-377585</v>
      </c>
    </row>
    <row r="105" spans="1:7" x14ac:dyDescent="0.35">
      <c r="A105" s="5">
        <v>2004</v>
      </c>
      <c r="B105" s="6">
        <v>1880.114</v>
      </c>
      <c r="C105" s="6">
        <v>2292.8409999999999</v>
      </c>
      <c r="D105" s="6">
        <v>-412.72699999999998</v>
      </c>
      <c r="E105" s="1">
        <v>1880114</v>
      </c>
      <c r="F105" s="2">
        <v>2292841</v>
      </c>
      <c r="G105" s="2">
        <v>-412727</v>
      </c>
    </row>
    <row r="106" spans="1:7" x14ac:dyDescent="0.35">
      <c r="A106" s="5">
        <v>2005</v>
      </c>
      <c r="B106" s="6">
        <v>2153.6109999999999</v>
      </c>
      <c r="C106" s="6">
        <v>2471.9569999999999</v>
      </c>
      <c r="D106" s="6">
        <v>-318.346</v>
      </c>
      <c r="E106" s="1">
        <v>2153611</v>
      </c>
      <c r="F106" s="2">
        <v>2471957</v>
      </c>
      <c r="G106" s="2">
        <v>-318346</v>
      </c>
    </row>
    <row r="107" spans="1:7" x14ac:dyDescent="0.35">
      <c r="A107" s="5">
        <v>2006</v>
      </c>
      <c r="B107" s="6">
        <v>2406.8690000000001</v>
      </c>
      <c r="C107" s="6">
        <v>2655.05</v>
      </c>
      <c r="D107" s="6">
        <v>-248.18100000000001</v>
      </c>
      <c r="E107" s="1">
        <v>2406869</v>
      </c>
      <c r="F107" s="2">
        <v>2655050</v>
      </c>
      <c r="G107" s="2">
        <v>-248181</v>
      </c>
    </row>
    <row r="108" spans="1:7" x14ac:dyDescent="0.35">
      <c r="A108" s="5">
        <v>2007</v>
      </c>
      <c r="B108" s="6">
        <v>2567.9850000000001</v>
      </c>
      <c r="C108" s="6">
        <v>2728.6860000000001</v>
      </c>
      <c r="D108" s="6">
        <v>-160.70099999999999</v>
      </c>
      <c r="E108" s="1">
        <v>2567985</v>
      </c>
      <c r="F108" s="2">
        <v>2728686</v>
      </c>
      <c r="G108" s="2">
        <v>-160701</v>
      </c>
    </row>
    <row r="109" spans="1:7" x14ac:dyDescent="0.35">
      <c r="A109" s="5">
        <v>2008</v>
      </c>
      <c r="B109" s="6">
        <v>2523.991</v>
      </c>
      <c r="C109" s="6">
        <v>2982.5439999999999</v>
      </c>
      <c r="D109" s="6">
        <v>-458.553</v>
      </c>
      <c r="E109" s="1">
        <v>2523991</v>
      </c>
      <c r="F109" s="2">
        <v>2982544</v>
      </c>
      <c r="G109" s="2">
        <v>-458553</v>
      </c>
    </row>
    <row r="110" spans="1:7" x14ac:dyDescent="0.35">
      <c r="A110" s="5">
        <v>2009</v>
      </c>
      <c r="B110" s="6">
        <v>2104.989</v>
      </c>
      <c r="C110" s="6">
        <v>3517.6770000000001</v>
      </c>
      <c r="D110" s="6">
        <v>-1412.6880000000001</v>
      </c>
      <c r="E110" s="1">
        <v>2104989</v>
      </c>
      <c r="F110" s="2">
        <v>3517677</v>
      </c>
      <c r="G110" s="2">
        <v>-1412688</v>
      </c>
    </row>
    <row r="111" spans="1:7" x14ac:dyDescent="0.35">
      <c r="A111" s="5">
        <v>2010</v>
      </c>
      <c r="B111" s="6">
        <v>2162.7060000000001</v>
      </c>
      <c r="C111" s="6">
        <v>3457.0790000000002</v>
      </c>
      <c r="D111" s="6">
        <v>-1294.373</v>
      </c>
      <c r="E111" s="1">
        <v>2162706</v>
      </c>
      <c r="F111" s="2">
        <v>3457079</v>
      </c>
      <c r="G111" s="2">
        <v>-1294373</v>
      </c>
    </row>
    <row r="112" spans="1:7" x14ac:dyDescent="0.35">
      <c r="A112" s="5">
        <v>2011</v>
      </c>
      <c r="B112" s="6">
        <v>2303.4659999999999</v>
      </c>
      <c r="C112" s="6">
        <v>3603.0650000000001</v>
      </c>
      <c r="D112" s="6">
        <v>-1299.5989999999999</v>
      </c>
      <c r="E112" s="1">
        <v>2303466</v>
      </c>
      <c r="F112" s="2">
        <v>3603065</v>
      </c>
      <c r="G112" s="2">
        <v>-1299599</v>
      </c>
    </row>
    <row r="113" spans="1:7" x14ac:dyDescent="0.35">
      <c r="A113" s="5">
        <v>2012</v>
      </c>
      <c r="B113" s="6">
        <v>2449.9899999999998</v>
      </c>
      <c r="C113" s="6">
        <v>3526.5630000000001</v>
      </c>
      <c r="D113" s="6">
        <v>-1076.5730000000001</v>
      </c>
      <c r="E113" s="1">
        <v>2449990</v>
      </c>
      <c r="F113" s="2">
        <v>3526563</v>
      </c>
      <c r="G113" s="2">
        <v>-1076573</v>
      </c>
    </row>
    <row r="114" spans="1:7" x14ac:dyDescent="0.35">
      <c r="A114" s="5">
        <v>2013</v>
      </c>
      <c r="B114" s="6">
        <v>2775.1060000000002</v>
      </c>
      <c r="C114" s="6">
        <v>3454.8809999999999</v>
      </c>
      <c r="D114" s="6">
        <v>-679.77499999999998</v>
      </c>
      <c r="E114" s="1">
        <v>2775106</v>
      </c>
      <c r="F114" s="2">
        <v>3454881</v>
      </c>
      <c r="G114" s="2">
        <v>-679775</v>
      </c>
    </row>
    <row r="115" spans="1:7" x14ac:dyDescent="0.35">
      <c r="A115" s="5">
        <v>2014</v>
      </c>
      <c r="B115" s="6">
        <v>3021.491</v>
      </c>
      <c r="C115" s="6">
        <v>3506.2840000000001</v>
      </c>
      <c r="D115" s="6">
        <v>-484.79300000000001</v>
      </c>
      <c r="E115" s="1">
        <v>3021491</v>
      </c>
      <c r="F115" s="2">
        <v>3506284</v>
      </c>
      <c r="G115" s="2">
        <v>-484793</v>
      </c>
    </row>
    <row r="116" spans="1:7" x14ac:dyDescent="0.35">
      <c r="A116" s="5">
        <v>2015</v>
      </c>
      <c r="B116" s="6">
        <v>3249.89</v>
      </c>
      <c r="C116" s="6">
        <v>3691.85</v>
      </c>
      <c r="D116" s="6">
        <v>-441.96</v>
      </c>
      <c r="E116" s="1">
        <v>3249890</v>
      </c>
      <c r="F116" s="2">
        <v>3691850</v>
      </c>
      <c r="G116" s="2">
        <v>-441960</v>
      </c>
    </row>
    <row r="117" spans="1:7" x14ac:dyDescent="0.35">
      <c r="A117" s="5">
        <v>2016</v>
      </c>
      <c r="B117" s="6">
        <v>3267.9650000000001</v>
      </c>
      <c r="C117" s="6">
        <v>3852.6149999999998</v>
      </c>
      <c r="D117" s="6">
        <v>-584.65</v>
      </c>
      <c r="E117" s="1">
        <v>3267965</v>
      </c>
      <c r="F117" s="2">
        <v>3852615</v>
      </c>
      <c r="G117" s="2">
        <v>-584650</v>
      </c>
    </row>
    <row r="118" spans="1:7" x14ac:dyDescent="0.35">
      <c r="A118" s="5">
        <v>2017</v>
      </c>
      <c r="B118" s="6">
        <v>3316.1840000000002</v>
      </c>
      <c r="C118" s="6">
        <v>3981.634</v>
      </c>
      <c r="D118" s="6">
        <v>-665.45</v>
      </c>
      <c r="E118" s="1">
        <v>3316184</v>
      </c>
      <c r="F118" s="2">
        <v>3981634</v>
      </c>
      <c r="G118" s="2">
        <v>-665450</v>
      </c>
    </row>
    <row r="119" spans="1:7" x14ac:dyDescent="0.35">
      <c r="A119" s="5">
        <v>2018</v>
      </c>
      <c r="B119" s="6">
        <v>3329.9070000000002</v>
      </c>
      <c r="C119" s="6">
        <v>4108.9809999999998</v>
      </c>
      <c r="D119" s="6">
        <v>-779.07399999999996</v>
      </c>
      <c r="E119" s="1">
        <v>3329907</v>
      </c>
      <c r="F119" s="2">
        <v>4108981</v>
      </c>
      <c r="G119" s="2">
        <v>-779074</v>
      </c>
    </row>
    <row r="120" spans="1:7" x14ac:dyDescent="0.35">
      <c r="A120" s="5">
        <v>2019</v>
      </c>
      <c r="B120" s="6">
        <v>3463.364</v>
      </c>
      <c r="C120" s="6">
        <v>4446.9520000000002</v>
      </c>
      <c r="D120" s="6">
        <v>-983.58799999999997</v>
      </c>
      <c r="E120" s="1">
        <v>3463364</v>
      </c>
      <c r="F120" s="2">
        <v>4446952</v>
      </c>
      <c r="G120" s="2">
        <v>-983588</v>
      </c>
    </row>
    <row r="121" spans="1:7" x14ac:dyDescent="0.35">
      <c r="A121" s="5">
        <v>2020</v>
      </c>
      <c r="B121" s="6">
        <v>3421.1640000000002</v>
      </c>
      <c r="C121" s="6">
        <v>6553.62</v>
      </c>
      <c r="D121" s="6">
        <v>-3132.4560000000001</v>
      </c>
      <c r="E121" s="1">
        <v>3421164</v>
      </c>
      <c r="F121" s="2">
        <v>6553620</v>
      </c>
      <c r="G121" s="2">
        <v>-3132456</v>
      </c>
    </row>
    <row r="122" spans="1:7" x14ac:dyDescent="0.35">
      <c r="A122" s="5">
        <v>2021</v>
      </c>
      <c r="B122" s="6">
        <v>4047.1109999999999</v>
      </c>
      <c r="C122" s="6">
        <v>6822.4610000000002</v>
      </c>
      <c r="D122" s="6">
        <v>-2775.35</v>
      </c>
      <c r="E122" s="1">
        <v>4047111</v>
      </c>
      <c r="F122" s="2">
        <v>6822461</v>
      </c>
      <c r="G122" s="2">
        <v>-2775350</v>
      </c>
    </row>
    <row r="123" spans="1:7" x14ac:dyDescent="0.35">
      <c r="A123" s="5">
        <v>2022</v>
      </c>
      <c r="B123" s="6">
        <v>4897.3389999999999</v>
      </c>
      <c r="C123" s="6">
        <v>6273.2610000000004</v>
      </c>
      <c r="D123" s="6">
        <v>-1375.922</v>
      </c>
      <c r="E123" s="1">
        <v>4897339</v>
      </c>
      <c r="F123" s="2">
        <v>6273261</v>
      </c>
      <c r="G123" s="2">
        <v>-1375922</v>
      </c>
    </row>
    <row r="124" spans="1:7" x14ac:dyDescent="0.35">
      <c r="A124" s="5">
        <v>2023</v>
      </c>
      <c r="B124" s="6">
        <v>4440.9480000000003</v>
      </c>
      <c r="C124" s="6">
        <v>6134.6729999999998</v>
      </c>
      <c r="D124" s="6">
        <v>-1693.7249999999999</v>
      </c>
      <c r="E124" s="1">
        <v>4440948</v>
      </c>
      <c r="F124" s="2">
        <v>6134673</v>
      </c>
      <c r="G124" s="2">
        <v>-1693725</v>
      </c>
    </row>
    <row r="125" spans="1:7" x14ac:dyDescent="0.35">
      <c r="A125" s="5">
        <v>2024</v>
      </c>
      <c r="B125" s="6">
        <v>4919.8829999999998</v>
      </c>
      <c r="C125" s="6">
        <v>6750.8559999999998</v>
      </c>
      <c r="D125" s="6">
        <v>-1830.973</v>
      </c>
      <c r="E125" s="1">
        <v>4919883</v>
      </c>
      <c r="F125" s="2">
        <v>6750856</v>
      </c>
      <c r="G125" s="2">
        <v>-1830973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90A67-778C-452C-9CF5-F1729663A779}">
  <dimension ref="A1:O96"/>
  <sheetViews>
    <sheetView workbookViewId="0">
      <selection activeCell="C2" sqref="C2"/>
    </sheetView>
  </sheetViews>
  <sheetFormatPr defaultRowHeight="14.5" x14ac:dyDescent="0.35"/>
  <cols>
    <col min="1" max="1" width="8.7265625" style="13"/>
  </cols>
  <sheetData>
    <row r="1" spans="1:15" ht="39" x14ac:dyDescent="0.35">
      <c r="A1" s="7" t="s">
        <v>5</v>
      </c>
      <c r="B1" s="7" t="s">
        <v>6</v>
      </c>
      <c r="C1" s="7" t="s">
        <v>1</v>
      </c>
      <c r="D1" s="7" t="s">
        <v>2</v>
      </c>
      <c r="E1" s="7" t="s">
        <v>3</v>
      </c>
    </row>
    <row r="2" spans="1:15" ht="14.5" customHeight="1" x14ac:dyDescent="0.35">
      <c r="A2" s="12">
        <v>1930</v>
      </c>
      <c r="B2" s="8">
        <v>98.4</v>
      </c>
      <c r="C2" s="11">
        <v>4.0999999999999995E-2</v>
      </c>
      <c r="D2" s="11">
        <v>3.4000000000000002E-2</v>
      </c>
      <c r="E2" s="11">
        <v>8.0000000000000002E-3</v>
      </c>
      <c r="F2" s="9"/>
      <c r="G2" s="10" t="s">
        <v>7</v>
      </c>
      <c r="H2" s="9"/>
      <c r="I2" s="9"/>
      <c r="J2" s="9"/>
      <c r="K2" s="9"/>
      <c r="L2" s="9"/>
      <c r="M2" s="9"/>
      <c r="N2" s="9"/>
      <c r="O2" s="9"/>
    </row>
    <row r="3" spans="1:15" x14ac:dyDescent="0.35">
      <c r="A3" s="12">
        <v>1931</v>
      </c>
      <c r="B3" s="8">
        <v>84.8</v>
      </c>
      <c r="C3" s="11">
        <v>3.7000000000000005E-2</v>
      </c>
      <c r="D3" s="11">
        <v>4.2000000000000003E-2</v>
      </c>
      <c r="E3" s="11">
        <v>-5.0000000000000001E-3</v>
      </c>
    </row>
    <row r="4" spans="1:15" x14ac:dyDescent="0.35">
      <c r="A4" s="12">
        <v>1932</v>
      </c>
      <c r="B4" s="8">
        <v>68.5</v>
      </c>
      <c r="C4" s="11">
        <v>2.7999999999999997E-2</v>
      </c>
      <c r="D4" s="11">
        <v>6.8000000000000005E-2</v>
      </c>
      <c r="E4" s="11">
        <v>-0.04</v>
      </c>
    </row>
    <row r="5" spans="1:15" x14ac:dyDescent="0.35">
      <c r="A5" s="12">
        <v>1933</v>
      </c>
      <c r="B5" s="8">
        <v>58.3</v>
      </c>
      <c r="C5" s="11">
        <v>3.4000000000000002E-2</v>
      </c>
      <c r="D5" s="11">
        <v>7.9000000000000001E-2</v>
      </c>
      <c r="E5" s="11">
        <v>-4.4999999999999998E-2</v>
      </c>
    </row>
    <row r="6" spans="1:15" x14ac:dyDescent="0.35">
      <c r="A6" s="12">
        <v>1934</v>
      </c>
      <c r="B6" s="8">
        <v>62</v>
      </c>
      <c r="C6" s="11">
        <v>4.8000000000000001E-2</v>
      </c>
      <c r="D6" s="11">
        <v>0.106</v>
      </c>
      <c r="E6" s="11">
        <v>-5.7999999999999996E-2</v>
      </c>
    </row>
    <row r="7" spans="1:15" x14ac:dyDescent="0.35">
      <c r="A7" s="12">
        <v>1935</v>
      </c>
      <c r="B7" s="8">
        <v>70.5</v>
      </c>
      <c r="C7" s="11">
        <v>5.0999999999999997E-2</v>
      </c>
      <c r="D7" s="11">
        <v>9.0999999999999998E-2</v>
      </c>
      <c r="E7" s="11">
        <v>-0.04</v>
      </c>
    </row>
    <row r="8" spans="1:15" x14ac:dyDescent="0.35">
      <c r="A8" s="12">
        <v>1936</v>
      </c>
      <c r="B8" s="8">
        <v>79.599999999999994</v>
      </c>
      <c r="C8" s="11">
        <v>4.9000000000000002E-2</v>
      </c>
      <c r="D8" s="11">
        <v>0.10300000000000001</v>
      </c>
      <c r="E8" s="11">
        <v>-5.4000000000000006E-2</v>
      </c>
    </row>
    <row r="9" spans="1:15" x14ac:dyDescent="0.35">
      <c r="A9" s="12">
        <v>1937</v>
      </c>
      <c r="B9" s="8">
        <v>88.9</v>
      </c>
      <c r="C9" s="11">
        <v>6.0999999999999999E-2</v>
      </c>
      <c r="D9" s="11">
        <v>8.5000000000000006E-2</v>
      </c>
      <c r="E9" s="11">
        <v>-2.5000000000000001E-2</v>
      </c>
    </row>
    <row r="10" spans="1:15" x14ac:dyDescent="0.35">
      <c r="A10" s="12">
        <v>1938</v>
      </c>
      <c r="B10" s="8">
        <v>90.2</v>
      </c>
      <c r="C10" s="11">
        <v>7.4999999999999997E-2</v>
      </c>
      <c r="D10" s="11">
        <v>7.5999999999999998E-2</v>
      </c>
      <c r="E10" s="11">
        <v>-1E-3</v>
      </c>
    </row>
    <row r="11" spans="1:15" x14ac:dyDescent="0.35">
      <c r="A11" s="12">
        <v>1939</v>
      </c>
      <c r="B11" s="8">
        <v>90.4</v>
      </c>
      <c r="C11" s="11">
        <v>7.0000000000000007E-2</v>
      </c>
      <c r="D11" s="11">
        <v>0.10099999999999999</v>
      </c>
      <c r="E11" s="11">
        <v>-3.1E-2</v>
      </c>
    </row>
    <row r="12" spans="1:15" x14ac:dyDescent="0.35">
      <c r="A12" s="12">
        <v>1940</v>
      </c>
      <c r="B12" s="8">
        <v>98.2</v>
      </c>
      <c r="C12" s="11">
        <v>6.7000000000000004E-2</v>
      </c>
      <c r="D12" s="11">
        <v>9.6000000000000002E-2</v>
      </c>
      <c r="E12" s="11">
        <v>-0.03</v>
      </c>
    </row>
    <row r="13" spans="1:15" x14ac:dyDescent="0.35">
      <c r="A13" s="12">
        <v>1941</v>
      </c>
      <c r="B13" s="8">
        <v>116.2</v>
      </c>
      <c r="C13" s="11">
        <v>7.4999999999999997E-2</v>
      </c>
      <c r="D13" s="11">
        <v>0.11699999999999999</v>
      </c>
      <c r="E13" s="11">
        <v>-4.2999999999999997E-2</v>
      </c>
    </row>
    <row r="14" spans="1:15" x14ac:dyDescent="0.35">
      <c r="A14" s="12">
        <v>1942</v>
      </c>
      <c r="B14" s="8">
        <v>147.69999999999999</v>
      </c>
      <c r="C14" s="11">
        <v>9.9000000000000005E-2</v>
      </c>
      <c r="D14" s="11">
        <v>0.23800000000000002</v>
      </c>
      <c r="E14" s="11">
        <v>-0.13900000000000001</v>
      </c>
    </row>
    <row r="15" spans="1:15" x14ac:dyDescent="0.35">
      <c r="A15" s="12">
        <v>1943</v>
      </c>
      <c r="B15" s="8">
        <v>184.6</v>
      </c>
      <c r="C15" s="11">
        <v>0.13</v>
      </c>
      <c r="D15" s="11">
        <v>0.42599999999999999</v>
      </c>
      <c r="E15" s="11">
        <v>-0.29600000000000004</v>
      </c>
    </row>
    <row r="16" spans="1:15" x14ac:dyDescent="0.35">
      <c r="A16" s="12">
        <v>1944</v>
      </c>
      <c r="B16" s="8">
        <v>213.8</v>
      </c>
      <c r="C16" s="11">
        <v>0.20499999999999999</v>
      </c>
      <c r="D16" s="11">
        <v>0.42700000000000005</v>
      </c>
      <c r="E16" s="11">
        <v>-0.222</v>
      </c>
    </row>
    <row r="17" spans="1:5" x14ac:dyDescent="0.35">
      <c r="A17" s="12">
        <v>1945</v>
      </c>
      <c r="B17" s="8">
        <v>226.4</v>
      </c>
      <c r="C17" s="11">
        <v>0.19899999999999998</v>
      </c>
      <c r="D17" s="11">
        <v>0.41</v>
      </c>
      <c r="E17" s="11">
        <v>-0.21</v>
      </c>
    </row>
    <row r="18" spans="1:5" x14ac:dyDescent="0.35">
      <c r="A18" s="12">
        <v>1946</v>
      </c>
      <c r="B18" s="8">
        <v>228</v>
      </c>
      <c r="C18" s="11">
        <v>0.17199999999999999</v>
      </c>
      <c r="D18" s="11">
        <v>0.24199999999999999</v>
      </c>
      <c r="E18" s="11">
        <v>-7.0000000000000007E-2</v>
      </c>
    </row>
    <row r="19" spans="1:5" x14ac:dyDescent="0.35">
      <c r="A19" s="12">
        <v>1947</v>
      </c>
      <c r="B19" s="8">
        <v>238.9</v>
      </c>
      <c r="C19" s="11">
        <v>0.161</v>
      </c>
      <c r="D19" s="11">
        <v>0.14400000000000002</v>
      </c>
      <c r="E19" s="11">
        <v>1.7000000000000001E-2</v>
      </c>
    </row>
    <row r="20" spans="1:5" x14ac:dyDescent="0.35">
      <c r="A20" s="12">
        <v>1948</v>
      </c>
      <c r="B20" s="8">
        <v>261.89999999999998</v>
      </c>
      <c r="C20" s="11">
        <v>0.159</v>
      </c>
      <c r="D20" s="11">
        <v>0.114</v>
      </c>
      <c r="E20" s="11">
        <v>4.4999999999999998E-2</v>
      </c>
    </row>
    <row r="21" spans="1:5" x14ac:dyDescent="0.35">
      <c r="A21" s="12">
        <v>1949</v>
      </c>
      <c r="B21" s="8">
        <v>276.5</v>
      </c>
      <c r="C21" s="11">
        <v>0.14300000000000002</v>
      </c>
      <c r="D21" s="11">
        <v>0.14000000000000001</v>
      </c>
      <c r="E21" s="11">
        <v>2E-3</v>
      </c>
    </row>
    <row r="22" spans="1:5" x14ac:dyDescent="0.35">
      <c r="A22" s="12">
        <v>1950</v>
      </c>
      <c r="B22" s="8">
        <v>278.67500000000001</v>
      </c>
      <c r="C22" s="11">
        <v>0.14199999999999999</v>
      </c>
      <c r="D22" s="11">
        <v>0.153</v>
      </c>
      <c r="E22" s="11">
        <v>-1.1000000000000001E-2</v>
      </c>
    </row>
    <row r="23" spans="1:5" x14ac:dyDescent="0.35">
      <c r="A23" s="12">
        <v>1951</v>
      </c>
      <c r="B23" s="8">
        <v>327.05</v>
      </c>
      <c r="C23" s="11">
        <v>0.158</v>
      </c>
      <c r="D23" s="11">
        <v>0.13900000000000001</v>
      </c>
      <c r="E23" s="11">
        <v>1.9E-2</v>
      </c>
    </row>
    <row r="24" spans="1:5" x14ac:dyDescent="0.35">
      <c r="A24" s="12">
        <v>1952</v>
      </c>
      <c r="B24" s="8">
        <v>357.1</v>
      </c>
      <c r="C24" s="11">
        <v>0.185</v>
      </c>
      <c r="D24" s="11">
        <v>0.19</v>
      </c>
      <c r="E24" s="11">
        <v>-4.0000000000000001E-3</v>
      </c>
    </row>
    <row r="25" spans="1:5" x14ac:dyDescent="0.35">
      <c r="A25" s="12">
        <v>1953</v>
      </c>
      <c r="B25" s="8">
        <v>382.05</v>
      </c>
      <c r="C25" s="11">
        <v>0.182</v>
      </c>
      <c r="D25" s="11">
        <v>0.19899999999999998</v>
      </c>
      <c r="E25" s="11">
        <v>-1.7000000000000001E-2</v>
      </c>
    </row>
    <row r="26" spans="1:5" x14ac:dyDescent="0.35">
      <c r="A26" s="12">
        <v>1954</v>
      </c>
      <c r="B26" s="8">
        <v>387.15</v>
      </c>
      <c r="C26" s="11">
        <v>0.18</v>
      </c>
      <c r="D26" s="11">
        <v>0.183</v>
      </c>
      <c r="E26" s="11">
        <v>-3.0000000000000001E-3</v>
      </c>
    </row>
    <row r="27" spans="1:5" x14ac:dyDescent="0.35">
      <c r="A27" s="12">
        <v>1955</v>
      </c>
      <c r="B27" s="8">
        <v>406.32499999999999</v>
      </c>
      <c r="C27" s="11">
        <v>0.161</v>
      </c>
      <c r="D27" s="11">
        <v>0.16800000000000001</v>
      </c>
      <c r="E27" s="11">
        <v>-6.9999999999999993E-3</v>
      </c>
    </row>
    <row r="28" spans="1:5" x14ac:dyDescent="0.35">
      <c r="A28" s="12">
        <v>1956</v>
      </c>
      <c r="B28" s="8">
        <v>438.25</v>
      </c>
      <c r="C28" s="11">
        <v>0.17</v>
      </c>
      <c r="D28" s="11">
        <v>0.161</v>
      </c>
      <c r="E28" s="11">
        <v>9.0000000000000011E-3</v>
      </c>
    </row>
    <row r="29" spans="1:5" x14ac:dyDescent="0.35">
      <c r="A29" s="12">
        <v>1957</v>
      </c>
      <c r="B29" s="8">
        <v>463.375</v>
      </c>
      <c r="C29" s="11">
        <v>0.17300000000000001</v>
      </c>
      <c r="D29" s="11">
        <v>0.16500000000000001</v>
      </c>
      <c r="E29" s="11">
        <v>6.9999999999999993E-3</v>
      </c>
    </row>
    <row r="30" spans="1:5" x14ac:dyDescent="0.35">
      <c r="A30" s="12">
        <v>1958</v>
      </c>
      <c r="B30" s="8">
        <v>473.47500000000002</v>
      </c>
      <c r="C30" s="11">
        <v>0.16800000000000001</v>
      </c>
      <c r="D30" s="11">
        <v>0.17399999999999999</v>
      </c>
      <c r="E30" s="11">
        <v>-6.0000000000000001E-3</v>
      </c>
    </row>
    <row r="31" spans="1:5" x14ac:dyDescent="0.35">
      <c r="A31" s="12">
        <v>1959</v>
      </c>
      <c r="B31" s="8">
        <v>504.6</v>
      </c>
      <c r="C31" s="11">
        <v>0.157</v>
      </c>
      <c r="D31" s="11">
        <v>0.183</v>
      </c>
      <c r="E31" s="11">
        <v>-2.5000000000000001E-2</v>
      </c>
    </row>
    <row r="32" spans="1:5" x14ac:dyDescent="0.35">
      <c r="A32" s="12">
        <v>1960</v>
      </c>
      <c r="B32" s="8">
        <v>534.32500000000005</v>
      </c>
      <c r="C32" s="11">
        <v>0.17300000000000001</v>
      </c>
      <c r="D32" s="11">
        <v>0.17300000000000001</v>
      </c>
      <c r="E32" s="11">
        <v>1E-3</v>
      </c>
    </row>
    <row r="33" spans="1:5" x14ac:dyDescent="0.35">
      <c r="A33" s="12">
        <v>1961</v>
      </c>
      <c r="B33" s="8">
        <v>546.57500000000005</v>
      </c>
      <c r="C33" s="11">
        <v>0.17300000000000001</v>
      </c>
      <c r="D33" s="11">
        <v>0.17899999999999999</v>
      </c>
      <c r="E33" s="11">
        <v>-6.0000000000000001E-3</v>
      </c>
    </row>
    <row r="34" spans="1:5" x14ac:dyDescent="0.35">
      <c r="A34" s="12">
        <v>1962</v>
      </c>
      <c r="B34" s="8">
        <v>585.67499999999995</v>
      </c>
      <c r="C34" s="11">
        <v>0.17</v>
      </c>
      <c r="D34" s="11">
        <v>0.182</v>
      </c>
      <c r="E34" s="11">
        <v>-1.2E-2</v>
      </c>
    </row>
    <row r="35" spans="1:5" x14ac:dyDescent="0.35">
      <c r="A35" s="12">
        <v>1963</v>
      </c>
      <c r="B35" s="8">
        <v>618.20000000000005</v>
      </c>
      <c r="C35" s="11">
        <v>0.17199999999999999</v>
      </c>
      <c r="D35" s="11">
        <v>0.18</v>
      </c>
      <c r="E35" s="11">
        <v>-8.0000000000000002E-3</v>
      </c>
    </row>
    <row r="36" spans="1:5" x14ac:dyDescent="0.35">
      <c r="A36" s="12">
        <v>1964</v>
      </c>
      <c r="B36" s="8">
        <v>661.7</v>
      </c>
      <c r="C36" s="11">
        <v>0.17</v>
      </c>
      <c r="D36" s="11">
        <v>0.17899999999999999</v>
      </c>
      <c r="E36" s="11">
        <v>-9.0000000000000011E-3</v>
      </c>
    </row>
    <row r="37" spans="1:5" x14ac:dyDescent="0.35">
      <c r="A37" s="12">
        <v>1965</v>
      </c>
      <c r="B37" s="8">
        <v>709.32500000000005</v>
      </c>
      <c r="C37" s="11">
        <v>0.16500000000000001</v>
      </c>
      <c r="D37" s="11">
        <v>0.16699999999999998</v>
      </c>
      <c r="E37" s="11">
        <v>-2E-3</v>
      </c>
    </row>
    <row r="38" spans="1:5" x14ac:dyDescent="0.35">
      <c r="A38" s="12">
        <v>1966</v>
      </c>
      <c r="B38" s="8">
        <v>780.47500000000002</v>
      </c>
      <c r="C38" s="11">
        <v>0.16800000000000001</v>
      </c>
      <c r="D38" s="11">
        <v>0.17199999999999999</v>
      </c>
      <c r="E38" s="11">
        <v>-5.0000000000000001E-3</v>
      </c>
    </row>
    <row r="39" spans="1:5" x14ac:dyDescent="0.35">
      <c r="A39" s="12">
        <v>1967</v>
      </c>
      <c r="B39" s="8">
        <v>836.52499999999998</v>
      </c>
      <c r="C39" s="11">
        <v>0.17800000000000002</v>
      </c>
      <c r="D39" s="11">
        <v>0.188</v>
      </c>
      <c r="E39" s="11">
        <v>-0.01</v>
      </c>
    </row>
    <row r="40" spans="1:5" x14ac:dyDescent="0.35">
      <c r="A40" s="12">
        <v>1968</v>
      </c>
      <c r="B40" s="8">
        <v>897.57500000000005</v>
      </c>
      <c r="C40" s="11">
        <v>0.17</v>
      </c>
      <c r="D40" s="11">
        <v>0.19800000000000001</v>
      </c>
      <c r="E40" s="11">
        <v>-2.7999999999999997E-2</v>
      </c>
    </row>
    <row r="41" spans="1:5" x14ac:dyDescent="0.35">
      <c r="A41" s="12">
        <v>1969</v>
      </c>
      <c r="B41" s="8">
        <v>980.27499999999998</v>
      </c>
      <c r="C41" s="11">
        <v>0.191</v>
      </c>
      <c r="D41" s="11">
        <v>0.187</v>
      </c>
      <c r="E41" s="11">
        <v>3.0000000000000001E-3</v>
      </c>
    </row>
    <row r="42" spans="1:5" x14ac:dyDescent="0.35">
      <c r="A42" s="12">
        <v>1970</v>
      </c>
      <c r="B42" s="8">
        <v>1046.675</v>
      </c>
      <c r="C42" s="11">
        <v>0.184</v>
      </c>
      <c r="D42" s="11">
        <v>0.187</v>
      </c>
      <c r="E42" s="11">
        <v>-3.0000000000000001E-3</v>
      </c>
    </row>
    <row r="43" spans="1:5" x14ac:dyDescent="0.35">
      <c r="A43" s="12">
        <v>1971</v>
      </c>
      <c r="B43" s="8">
        <v>1116.55</v>
      </c>
      <c r="C43" s="11">
        <v>0.16800000000000001</v>
      </c>
      <c r="D43" s="11">
        <v>0.188</v>
      </c>
      <c r="E43" s="11">
        <v>-2.1000000000000001E-2</v>
      </c>
    </row>
    <row r="44" spans="1:5" x14ac:dyDescent="0.35">
      <c r="A44" s="12">
        <v>1972</v>
      </c>
      <c r="B44" s="8">
        <v>1216.25</v>
      </c>
      <c r="C44" s="11">
        <v>0.17</v>
      </c>
      <c r="D44" s="11">
        <v>0.19</v>
      </c>
      <c r="E44" s="11">
        <v>-1.9E-2</v>
      </c>
    </row>
    <row r="45" spans="1:5" x14ac:dyDescent="0.35">
      <c r="A45" s="12">
        <v>1973</v>
      </c>
      <c r="B45" s="8">
        <v>1352.7249999999999</v>
      </c>
      <c r="C45" s="11">
        <v>0.17100000000000001</v>
      </c>
      <c r="D45" s="11">
        <v>0.182</v>
      </c>
      <c r="E45" s="11">
        <v>-1.1000000000000001E-2</v>
      </c>
    </row>
    <row r="46" spans="1:5" x14ac:dyDescent="0.35">
      <c r="A46" s="12">
        <v>1974</v>
      </c>
      <c r="B46" s="8">
        <v>1482.85</v>
      </c>
      <c r="C46" s="11">
        <v>0.17800000000000002</v>
      </c>
      <c r="D46" s="11">
        <v>0.182</v>
      </c>
      <c r="E46" s="11">
        <v>-4.0000000000000001E-3</v>
      </c>
    </row>
    <row r="47" spans="1:5" x14ac:dyDescent="0.35">
      <c r="A47" s="12">
        <v>1975</v>
      </c>
      <c r="B47" s="8">
        <v>1606.925</v>
      </c>
      <c r="C47" s="11">
        <v>0.17399999999999999</v>
      </c>
      <c r="D47" s="11">
        <v>0.20699999999999999</v>
      </c>
      <c r="E47" s="11">
        <v>-3.3000000000000002E-2</v>
      </c>
    </row>
    <row r="48" spans="1:5" x14ac:dyDescent="0.35">
      <c r="A48" s="12">
        <v>1976</v>
      </c>
      <c r="B48" s="8">
        <v>1786.1</v>
      </c>
      <c r="C48" s="11">
        <v>0.16699999999999998</v>
      </c>
      <c r="D48" s="11">
        <v>0.20800000000000002</v>
      </c>
      <c r="E48" s="11">
        <v>-4.0999999999999995E-2</v>
      </c>
    </row>
    <row r="49" spans="1:5" x14ac:dyDescent="0.35">
      <c r="A49" s="12">
        <v>1977</v>
      </c>
      <c r="B49" s="8">
        <v>2024.325</v>
      </c>
      <c r="C49" s="11">
        <v>0.17600000000000002</v>
      </c>
      <c r="D49" s="11">
        <v>0.20199999999999999</v>
      </c>
      <c r="E49" s="11">
        <v>-2.7000000000000003E-2</v>
      </c>
    </row>
    <row r="50" spans="1:5" x14ac:dyDescent="0.35">
      <c r="A50" s="12">
        <v>1978</v>
      </c>
      <c r="B50" s="8">
        <v>2273.4499999999998</v>
      </c>
      <c r="C50" s="11">
        <v>0.17600000000000002</v>
      </c>
      <c r="D50" s="11">
        <v>0.20199999999999999</v>
      </c>
      <c r="E50" s="11">
        <v>-2.6000000000000002E-2</v>
      </c>
    </row>
    <row r="51" spans="1:5" x14ac:dyDescent="0.35">
      <c r="A51" s="12">
        <v>1979</v>
      </c>
      <c r="B51" s="8">
        <v>2565.5749999999998</v>
      </c>
      <c r="C51" s="11">
        <v>0.18100000000000002</v>
      </c>
      <c r="D51" s="11">
        <v>0.19600000000000001</v>
      </c>
      <c r="E51" s="11">
        <v>-1.6E-2</v>
      </c>
    </row>
    <row r="52" spans="1:5" x14ac:dyDescent="0.35">
      <c r="A52" s="12">
        <v>1980</v>
      </c>
      <c r="B52" s="8">
        <v>2791.9</v>
      </c>
      <c r="C52" s="11">
        <v>0.185</v>
      </c>
      <c r="D52" s="11">
        <v>0.21199999999999999</v>
      </c>
      <c r="E52" s="11">
        <v>-2.6000000000000002E-2</v>
      </c>
    </row>
    <row r="53" spans="1:5" x14ac:dyDescent="0.35">
      <c r="A53" s="12">
        <v>1981</v>
      </c>
      <c r="B53" s="8">
        <v>3133.2249999999999</v>
      </c>
      <c r="C53" s="11">
        <v>0.191</v>
      </c>
      <c r="D53" s="11">
        <v>0.21600000000000003</v>
      </c>
      <c r="E53" s="11">
        <v>-2.5000000000000001E-2</v>
      </c>
    </row>
    <row r="54" spans="1:5" x14ac:dyDescent="0.35">
      <c r="A54" s="12">
        <v>1982</v>
      </c>
      <c r="B54" s="8">
        <v>3313.35</v>
      </c>
      <c r="C54" s="11">
        <v>0.18600000000000003</v>
      </c>
      <c r="D54" s="11">
        <v>0.22500000000000001</v>
      </c>
      <c r="E54" s="11">
        <v>-3.9E-2</v>
      </c>
    </row>
    <row r="55" spans="1:5" x14ac:dyDescent="0.35">
      <c r="A55" s="12">
        <v>1983</v>
      </c>
      <c r="B55" s="8">
        <v>3536</v>
      </c>
      <c r="C55" s="11">
        <v>0.17</v>
      </c>
      <c r="D55" s="11">
        <v>0.22899999999999998</v>
      </c>
      <c r="E55" s="11">
        <v>-5.9000000000000004E-2</v>
      </c>
    </row>
    <row r="56" spans="1:5" x14ac:dyDescent="0.35">
      <c r="A56" s="12">
        <v>1984</v>
      </c>
      <c r="B56" s="8">
        <v>3949.1750000000002</v>
      </c>
      <c r="C56" s="11">
        <v>0.16899999999999998</v>
      </c>
      <c r="D56" s="11">
        <v>0.21600000000000003</v>
      </c>
      <c r="E56" s="11">
        <v>-4.7E-2</v>
      </c>
    </row>
    <row r="57" spans="1:5" x14ac:dyDescent="0.35">
      <c r="A57" s="12">
        <v>1985</v>
      </c>
      <c r="B57" s="8">
        <v>4265.125</v>
      </c>
      <c r="C57" s="11">
        <v>0.17199999999999999</v>
      </c>
      <c r="D57" s="11">
        <v>0.222</v>
      </c>
      <c r="E57" s="11">
        <v>-0.05</v>
      </c>
    </row>
    <row r="58" spans="1:5" x14ac:dyDescent="0.35">
      <c r="A58" s="12">
        <v>1986</v>
      </c>
      <c r="B58" s="8">
        <v>4526.25</v>
      </c>
      <c r="C58" s="11">
        <v>0.17</v>
      </c>
      <c r="D58" s="11">
        <v>0.21899999999999997</v>
      </c>
      <c r="E58" s="11">
        <v>-4.9000000000000002E-2</v>
      </c>
    </row>
    <row r="59" spans="1:5" x14ac:dyDescent="0.35">
      <c r="A59" s="12">
        <v>1987</v>
      </c>
      <c r="B59" s="8">
        <v>4767.6499999999996</v>
      </c>
      <c r="C59" s="11">
        <v>0.17899999999999999</v>
      </c>
      <c r="D59" s="11">
        <v>0.21100000000000002</v>
      </c>
      <c r="E59" s="11">
        <v>-3.1E-2</v>
      </c>
    </row>
    <row r="60" spans="1:5" x14ac:dyDescent="0.35">
      <c r="A60" s="12">
        <v>1988</v>
      </c>
      <c r="B60" s="8">
        <v>5138.55</v>
      </c>
      <c r="C60" s="11">
        <v>0.17699999999999999</v>
      </c>
      <c r="D60" s="11">
        <v>0.20699999999999999</v>
      </c>
      <c r="E60" s="11">
        <v>-0.03</v>
      </c>
    </row>
    <row r="61" spans="1:5" x14ac:dyDescent="0.35">
      <c r="A61" s="12">
        <v>1989</v>
      </c>
      <c r="B61" s="8">
        <v>5554.6750000000002</v>
      </c>
      <c r="C61" s="11">
        <v>0.17800000000000002</v>
      </c>
      <c r="D61" s="11">
        <v>0.20600000000000002</v>
      </c>
      <c r="E61" s="11">
        <v>-2.7000000000000003E-2</v>
      </c>
    </row>
    <row r="62" spans="1:5" x14ac:dyDescent="0.35">
      <c r="A62" s="12">
        <v>1990</v>
      </c>
      <c r="B62" s="8">
        <v>5898.75</v>
      </c>
      <c r="C62" s="11">
        <v>0.17499999999999999</v>
      </c>
      <c r="D62" s="11">
        <v>0.21199999999999999</v>
      </c>
      <c r="E62" s="11">
        <v>-3.7000000000000005E-2</v>
      </c>
    </row>
    <row r="63" spans="1:5" x14ac:dyDescent="0.35">
      <c r="A63" s="12">
        <v>1991</v>
      </c>
      <c r="B63" s="8">
        <v>6093.1750000000002</v>
      </c>
      <c r="C63" s="11">
        <v>0.17300000000000001</v>
      </c>
      <c r="D63" s="11">
        <v>0.217</v>
      </c>
      <c r="E63" s="11">
        <v>-4.4000000000000004E-2</v>
      </c>
    </row>
    <row r="64" spans="1:5" x14ac:dyDescent="0.35">
      <c r="A64" s="12">
        <v>1992</v>
      </c>
      <c r="B64" s="8">
        <v>6416.25</v>
      </c>
      <c r="C64" s="11">
        <v>0.17</v>
      </c>
      <c r="D64" s="11">
        <v>0.215</v>
      </c>
      <c r="E64" s="11">
        <v>-4.4999999999999998E-2</v>
      </c>
    </row>
    <row r="65" spans="1:5" x14ac:dyDescent="0.35">
      <c r="A65" s="12">
        <v>1993</v>
      </c>
      <c r="B65" s="8">
        <v>6775.3249999999998</v>
      </c>
      <c r="C65" s="11">
        <v>0.17</v>
      </c>
      <c r="D65" s="11">
        <v>0.20800000000000002</v>
      </c>
      <c r="E65" s="11">
        <v>-3.7999999999999999E-2</v>
      </c>
    </row>
    <row r="66" spans="1:5" x14ac:dyDescent="0.35">
      <c r="A66" s="12">
        <v>1994</v>
      </c>
      <c r="B66" s="8">
        <v>7176.85</v>
      </c>
      <c r="C66" s="11">
        <v>0.17499999999999999</v>
      </c>
      <c r="D66" s="11">
        <v>0.20399999999999999</v>
      </c>
      <c r="E66" s="11">
        <v>-2.7999999999999997E-2</v>
      </c>
    </row>
    <row r="67" spans="1:5" x14ac:dyDescent="0.35">
      <c r="A67" s="12">
        <v>1995</v>
      </c>
      <c r="B67" s="8">
        <v>7560.4250000000002</v>
      </c>
      <c r="C67" s="11">
        <v>0.17899999999999999</v>
      </c>
      <c r="D67" s="11">
        <v>0.2</v>
      </c>
      <c r="E67" s="11">
        <v>-2.2000000000000002E-2</v>
      </c>
    </row>
    <row r="68" spans="1:5" x14ac:dyDescent="0.35">
      <c r="A68" s="12">
        <v>1996</v>
      </c>
      <c r="B68" s="8">
        <v>7951.3249999999998</v>
      </c>
      <c r="C68" s="11">
        <v>0.183</v>
      </c>
      <c r="D68" s="11">
        <v>0.19600000000000001</v>
      </c>
      <c r="E68" s="11">
        <v>-1.3999999999999999E-2</v>
      </c>
    </row>
    <row r="69" spans="1:5" x14ac:dyDescent="0.35">
      <c r="A69" s="12">
        <v>1997</v>
      </c>
      <c r="B69" s="8">
        <v>8451.0249999999996</v>
      </c>
      <c r="C69" s="11">
        <v>0.187</v>
      </c>
      <c r="D69" s="11">
        <v>0.18899999999999997</v>
      </c>
      <c r="E69" s="11">
        <v>-3.0000000000000001E-3</v>
      </c>
    </row>
    <row r="70" spans="1:5" x14ac:dyDescent="0.35">
      <c r="A70" s="12">
        <v>1998</v>
      </c>
      <c r="B70" s="8">
        <v>8930.7999999999993</v>
      </c>
      <c r="C70" s="11">
        <v>0.193</v>
      </c>
      <c r="D70" s="11">
        <v>0.185</v>
      </c>
      <c r="E70" s="11">
        <v>8.0000000000000002E-3</v>
      </c>
    </row>
    <row r="71" spans="1:5" x14ac:dyDescent="0.35">
      <c r="A71" s="12">
        <v>1999</v>
      </c>
      <c r="B71" s="8">
        <v>9479.625</v>
      </c>
      <c r="C71" s="11">
        <v>0.193</v>
      </c>
      <c r="D71" s="11">
        <v>0.18</v>
      </c>
      <c r="E71" s="11">
        <v>1.3000000000000001E-2</v>
      </c>
    </row>
    <row r="72" spans="1:5" x14ac:dyDescent="0.35">
      <c r="A72" s="12">
        <v>2000</v>
      </c>
      <c r="B72" s="8">
        <v>10117.075000000001</v>
      </c>
      <c r="C72" s="11">
        <v>0.2</v>
      </c>
      <c r="D72" s="11">
        <v>0.17699999999999999</v>
      </c>
      <c r="E72" s="11">
        <v>2.3E-2</v>
      </c>
    </row>
    <row r="73" spans="1:5" x14ac:dyDescent="0.35">
      <c r="A73" s="12">
        <v>2001</v>
      </c>
      <c r="B73" s="8">
        <v>10525.725</v>
      </c>
      <c r="C73" s="11">
        <v>0.18899999999999997</v>
      </c>
      <c r="D73" s="11">
        <v>0.17699999999999999</v>
      </c>
      <c r="E73" s="11">
        <v>1.2E-2</v>
      </c>
    </row>
    <row r="74" spans="1:5" x14ac:dyDescent="0.35">
      <c r="A74" s="12">
        <v>2002</v>
      </c>
      <c r="B74" s="8">
        <v>10828.875</v>
      </c>
      <c r="C74" s="11">
        <v>0.17100000000000001</v>
      </c>
      <c r="D74" s="11">
        <v>0.18600000000000003</v>
      </c>
      <c r="E74" s="11">
        <v>-1.4999999999999999E-2</v>
      </c>
    </row>
    <row r="75" spans="1:5" x14ac:dyDescent="0.35">
      <c r="A75" s="12">
        <v>2003</v>
      </c>
      <c r="B75" s="8">
        <v>11278.75</v>
      </c>
      <c r="C75" s="11">
        <v>0.158</v>
      </c>
      <c r="D75" s="11">
        <v>0.192</v>
      </c>
      <c r="E75" s="11">
        <v>-3.3000000000000002E-2</v>
      </c>
    </row>
    <row r="76" spans="1:5" x14ac:dyDescent="0.35">
      <c r="A76" s="12">
        <v>2004</v>
      </c>
      <c r="B76" s="8">
        <v>12028.424999999999</v>
      </c>
      <c r="C76" s="11">
        <v>0.156</v>
      </c>
      <c r="D76" s="11">
        <v>0.191</v>
      </c>
      <c r="E76" s="11">
        <v>-3.4000000000000002E-2</v>
      </c>
    </row>
    <row r="77" spans="1:5" x14ac:dyDescent="0.35">
      <c r="A77" s="12">
        <v>2005</v>
      </c>
      <c r="B77" s="8">
        <v>12839.95</v>
      </c>
      <c r="C77" s="11">
        <v>0.16800000000000001</v>
      </c>
      <c r="D77" s="11">
        <v>0.193</v>
      </c>
      <c r="E77" s="11">
        <v>-2.5000000000000001E-2</v>
      </c>
    </row>
    <row r="78" spans="1:5" x14ac:dyDescent="0.35">
      <c r="A78" s="12">
        <v>2006</v>
      </c>
      <c r="B78" s="8">
        <v>13636.75</v>
      </c>
      <c r="C78" s="11">
        <v>0.17600000000000002</v>
      </c>
      <c r="D78" s="11">
        <v>0.19500000000000001</v>
      </c>
      <c r="E78" s="11">
        <v>-1.8000000000000002E-2</v>
      </c>
    </row>
    <row r="79" spans="1:5" x14ac:dyDescent="0.35">
      <c r="A79" s="12">
        <v>2007</v>
      </c>
      <c r="B79" s="8">
        <v>14305.375</v>
      </c>
      <c r="C79" s="11">
        <v>0.18</v>
      </c>
      <c r="D79" s="11">
        <v>0.191</v>
      </c>
      <c r="E79" s="11">
        <v>-1.1000000000000001E-2</v>
      </c>
    </row>
    <row r="80" spans="1:5" x14ac:dyDescent="0.35">
      <c r="A80" s="12">
        <v>2008</v>
      </c>
      <c r="B80" s="8">
        <v>14796.575000000001</v>
      </c>
      <c r="C80" s="11">
        <v>0.17100000000000001</v>
      </c>
      <c r="D80" s="11">
        <v>0.20199999999999999</v>
      </c>
      <c r="E80" s="11">
        <v>-3.1E-2</v>
      </c>
    </row>
    <row r="81" spans="1:5" x14ac:dyDescent="0.35">
      <c r="A81" s="12">
        <v>2009</v>
      </c>
      <c r="B81" s="8">
        <v>14467.3</v>
      </c>
      <c r="C81" s="11">
        <v>0.14499999999999999</v>
      </c>
      <c r="D81" s="11">
        <v>0.24299999999999999</v>
      </c>
      <c r="E81" s="11">
        <v>-9.8000000000000004E-2</v>
      </c>
    </row>
    <row r="82" spans="1:5" x14ac:dyDescent="0.35">
      <c r="A82" s="12">
        <v>2010</v>
      </c>
      <c r="B82" s="8">
        <v>14884.4</v>
      </c>
      <c r="C82" s="11">
        <v>0.14499999999999999</v>
      </c>
      <c r="D82" s="11">
        <v>0.23199999999999998</v>
      </c>
      <c r="E82" s="11">
        <v>-8.6999999999999994E-2</v>
      </c>
    </row>
    <row r="83" spans="1:5" x14ac:dyDescent="0.35">
      <c r="A83" s="12">
        <v>2011</v>
      </c>
      <c r="B83" s="8">
        <v>15466.525</v>
      </c>
      <c r="C83" s="11">
        <v>0.14899999999999999</v>
      </c>
      <c r="D83" s="11">
        <v>0.23300000000000001</v>
      </c>
      <c r="E83" s="11">
        <v>-8.4000000000000005E-2</v>
      </c>
    </row>
    <row r="84" spans="1:5" x14ac:dyDescent="0.35">
      <c r="A84" s="12">
        <v>2012</v>
      </c>
      <c r="B84" s="8">
        <v>16109.424999999999</v>
      </c>
      <c r="C84" s="11">
        <v>0.152</v>
      </c>
      <c r="D84" s="11">
        <v>0.21899999999999997</v>
      </c>
      <c r="E84" s="11">
        <v>-6.7000000000000004E-2</v>
      </c>
    </row>
    <row r="85" spans="1:5" x14ac:dyDescent="0.35">
      <c r="A85" s="12">
        <v>2013</v>
      </c>
      <c r="B85" s="8">
        <v>16687.775000000001</v>
      </c>
      <c r="C85" s="11">
        <v>0.16600000000000001</v>
      </c>
      <c r="D85" s="11">
        <v>0.20699999999999999</v>
      </c>
      <c r="E85" s="11">
        <v>-4.0999999999999995E-2</v>
      </c>
    </row>
    <row r="86" spans="1:5" x14ac:dyDescent="0.35">
      <c r="A86" s="12">
        <v>2014</v>
      </c>
      <c r="B86" s="8">
        <v>17428.099999999999</v>
      </c>
      <c r="C86" s="11">
        <v>0.17300000000000001</v>
      </c>
      <c r="D86" s="11">
        <v>0.20100000000000001</v>
      </c>
      <c r="E86" s="11">
        <v>-2.7999999999999997E-2</v>
      </c>
    </row>
    <row r="87" spans="1:5" x14ac:dyDescent="0.35">
      <c r="A87" s="12">
        <v>2015</v>
      </c>
      <c r="B87" s="8">
        <v>18164.25</v>
      </c>
      <c r="C87" s="11">
        <v>0.17899999999999999</v>
      </c>
      <c r="D87" s="11">
        <v>0.20300000000000001</v>
      </c>
      <c r="E87" s="11">
        <v>-2.4E-2</v>
      </c>
    </row>
    <row r="88" spans="1:5" x14ac:dyDescent="0.35">
      <c r="A88" s="12">
        <v>2016</v>
      </c>
      <c r="B88" s="8">
        <v>18641.325000000001</v>
      </c>
      <c r="C88" s="11">
        <v>0.17499999999999999</v>
      </c>
      <c r="D88" s="11">
        <v>0.20699999999999999</v>
      </c>
      <c r="E88" s="11">
        <v>-3.1E-2</v>
      </c>
    </row>
    <row r="89" spans="1:5" x14ac:dyDescent="0.35">
      <c r="A89" s="12">
        <v>2017</v>
      </c>
      <c r="B89" s="8">
        <v>19375.174999999999</v>
      </c>
      <c r="C89" s="11">
        <v>0.17100000000000001</v>
      </c>
      <c r="D89" s="11">
        <v>0.20600000000000002</v>
      </c>
      <c r="E89" s="11">
        <v>-3.4000000000000002E-2</v>
      </c>
    </row>
    <row r="90" spans="1:5" x14ac:dyDescent="0.35">
      <c r="A90" s="12">
        <v>2018</v>
      </c>
      <c r="B90" s="8">
        <v>20436.325000000001</v>
      </c>
      <c r="C90" s="11">
        <v>0.16300000000000001</v>
      </c>
      <c r="D90" s="11">
        <v>0.20100000000000001</v>
      </c>
      <c r="E90" s="11">
        <v>-3.7999999999999999E-2</v>
      </c>
    </row>
    <row r="91" spans="1:5" x14ac:dyDescent="0.35">
      <c r="A91" s="12">
        <v>2019</v>
      </c>
      <c r="B91" s="8">
        <v>21286.15</v>
      </c>
      <c r="C91" s="11">
        <v>0.16300000000000001</v>
      </c>
      <c r="D91" s="11">
        <v>0.20899999999999999</v>
      </c>
      <c r="E91" s="11">
        <v>-4.5999999999999999E-2</v>
      </c>
    </row>
    <row r="92" spans="1:5" x14ac:dyDescent="0.35">
      <c r="A92" s="12">
        <v>2020</v>
      </c>
      <c r="B92" s="8">
        <v>21320.224999999999</v>
      </c>
      <c r="C92" s="11">
        <v>0.16</v>
      </c>
      <c r="D92" s="11">
        <v>0.307</v>
      </c>
      <c r="E92" s="11">
        <v>-0.14699999999999999</v>
      </c>
    </row>
    <row r="93" spans="1:5" x14ac:dyDescent="0.35">
      <c r="A93" s="12">
        <v>2021</v>
      </c>
      <c r="B93" s="8">
        <v>23004.125</v>
      </c>
      <c r="C93" s="11">
        <v>0.17600000000000002</v>
      </c>
      <c r="D93" s="11">
        <v>0.29699999999999999</v>
      </c>
      <c r="E93" s="11">
        <v>-0.121</v>
      </c>
    </row>
    <row r="94" spans="1:5" x14ac:dyDescent="0.35">
      <c r="A94" s="12">
        <v>2022</v>
      </c>
      <c r="B94" s="8">
        <v>25517.575000000001</v>
      </c>
      <c r="C94" s="11">
        <v>0.192</v>
      </c>
      <c r="D94" s="11">
        <v>0.24600000000000002</v>
      </c>
      <c r="E94" s="11">
        <v>-5.4000000000000006E-2</v>
      </c>
    </row>
    <row r="95" spans="1:5" x14ac:dyDescent="0.35">
      <c r="A95" s="12">
        <v>2023</v>
      </c>
      <c r="B95" s="8">
        <v>27330.05</v>
      </c>
      <c r="C95" s="11">
        <v>0.16200000000000001</v>
      </c>
      <c r="D95" s="11">
        <v>0.22399999999999998</v>
      </c>
      <c r="E95" s="11">
        <v>-6.2E-2</v>
      </c>
    </row>
    <row r="96" spans="1:5" x14ac:dyDescent="0.35">
      <c r="A96" s="12">
        <v>2024</v>
      </c>
      <c r="B96" s="8">
        <v>28828.2</v>
      </c>
      <c r="C96" s="11">
        <v>0.17100000000000001</v>
      </c>
      <c r="D96" s="11">
        <v>0.23399999999999999</v>
      </c>
      <c r="E96" s="11">
        <v>-6.4000000000000001E-2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422D-AD6D-4F25-9AC5-1306D5AEBB28}">
  <dimension ref="A1:D86"/>
  <sheetViews>
    <sheetView workbookViewId="0">
      <selection activeCell="A39" sqref="A39:XFD39"/>
    </sheetView>
  </sheetViews>
  <sheetFormatPr defaultRowHeight="14.5" x14ac:dyDescent="0.35"/>
  <cols>
    <col min="1" max="1" width="8.7265625" style="13"/>
  </cols>
  <sheetData>
    <row r="1" spans="1:4" ht="26" x14ac:dyDescent="0.35">
      <c r="A1" s="7" t="s">
        <v>5</v>
      </c>
      <c r="B1" s="7" t="s">
        <v>1</v>
      </c>
      <c r="C1" s="7" t="s">
        <v>2</v>
      </c>
      <c r="D1" s="7" t="s">
        <v>3</v>
      </c>
    </row>
    <row r="2" spans="1:4" x14ac:dyDescent="0.35">
      <c r="A2" s="12">
        <v>1940</v>
      </c>
      <c r="B2" s="14">
        <v>107.4</v>
      </c>
      <c r="C2" s="14">
        <v>155.19999999999999</v>
      </c>
      <c r="D2" s="14">
        <v>-47.9</v>
      </c>
    </row>
    <row r="3" spans="1:4" x14ac:dyDescent="0.35">
      <c r="A3" s="12">
        <v>1941</v>
      </c>
      <c r="B3" s="14">
        <v>127.4</v>
      </c>
      <c r="C3" s="14">
        <v>199.6</v>
      </c>
      <c r="D3" s="14">
        <v>-72.2</v>
      </c>
    </row>
    <row r="4" spans="1:4" x14ac:dyDescent="0.35">
      <c r="A4" s="12">
        <v>1942</v>
      </c>
      <c r="B4" s="14">
        <v>187.4</v>
      </c>
      <c r="C4" s="14">
        <v>449.9</v>
      </c>
      <c r="D4" s="14">
        <v>-262.5</v>
      </c>
    </row>
    <row r="5" spans="1:4" x14ac:dyDescent="0.35">
      <c r="A5" s="12">
        <v>1943</v>
      </c>
      <c r="B5" s="14">
        <v>275.60000000000002</v>
      </c>
      <c r="C5" s="14">
        <v>901.9</v>
      </c>
      <c r="D5" s="14">
        <v>-626.29999999999995</v>
      </c>
    </row>
    <row r="6" spans="1:4" x14ac:dyDescent="0.35">
      <c r="A6" s="12">
        <v>1944</v>
      </c>
      <c r="B6" s="14">
        <v>546.20000000000005</v>
      </c>
      <c r="C6" s="14">
        <v>1139.9000000000001</v>
      </c>
      <c r="D6" s="14">
        <v>-593.70000000000005</v>
      </c>
    </row>
    <row r="7" spans="1:4" x14ac:dyDescent="0.35">
      <c r="A7" s="12">
        <v>1945</v>
      </c>
      <c r="B7" s="14">
        <v>597.29999999999995</v>
      </c>
      <c r="C7" s="14">
        <v>1226.3</v>
      </c>
      <c r="D7" s="14">
        <v>-629</v>
      </c>
    </row>
    <row r="8" spans="1:4" x14ac:dyDescent="0.35">
      <c r="A8" s="12">
        <v>1946</v>
      </c>
      <c r="B8" s="14">
        <v>519.1</v>
      </c>
      <c r="C8" s="14">
        <v>729.6</v>
      </c>
      <c r="D8" s="14">
        <v>-210.5</v>
      </c>
    </row>
    <row r="9" spans="1:4" x14ac:dyDescent="0.35">
      <c r="A9" s="12">
        <v>1947</v>
      </c>
      <c r="B9" s="14">
        <v>457.4</v>
      </c>
      <c r="C9" s="14">
        <v>409.7</v>
      </c>
      <c r="D9" s="14">
        <v>47.7</v>
      </c>
    </row>
    <row r="10" spans="1:4" x14ac:dyDescent="0.35">
      <c r="A10" s="12">
        <v>1948</v>
      </c>
      <c r="B10" s="14">
        <v>475</v>
      </c>
      <c r="C10" s="14">
        <v>340.2</v>
      </c>
      <c r="D10" s="14">
        <v>134.80000000000001</v>
      </c>
    </row>
    <row r="11" spans="1:4" x14ac:dyDescent="0.35">
      <c r="A11" s="12">
        <v>1949</v>
      </c>
      <c r="B11" s="14">
        <v>469.2</v>
      </c>
      <c r="C11" s="14">
        <v>462.3</v>
      </c>
      <c r="D11" s="14">
        <v>6.9</v>
      </c>
    </row>
    <row r="12" spans="1:4" x14ac:dyDescent="0.35">
      <c r="A12" s="12">
        <v>1950</v>
      </c>
      <c r="B12" s="14">
        <v>446.2</v>
      </c>
      <c r="C12" s="14">
        <v>481.5</v>
      </c>
      <c r="D12" s="14">
        <v>-35.299999999999997</v>
      </c>
    </row>
    <row r="13" spans="1:4" x14ac:dyDescent="0.35">
      <c r="A13" s="12">
        <v>1951</v>
      </c>
      <c r="B13" s="14">
        <v>576.70000000000005</v>
      </c>
      <c r="C13" s="14">
        <v>508.5</v>
      </c>
      <c r="D13" s="14">
        <v>68.2</v>
      </c>
    </row>
    <row r="14" spans="1:4" x14ac:dyDescent="0.35">
      <c r="A14" s="12">
        <v>1952</v>
      </c>
      <c r="B14" s="14">
        <v>736.8</v>
      </c>
      <c r="C14" s="14">
        <v>753.7</v>
      </c>
      <c r="D14" s="14">
        <v>-16.899999999999999</v>
      </c>
    </row>
    <row r="15" spans="1:4" x14ac:dyDescent="0.35">
      <c r="A15" s="12">
        <v>1953</v>
      </c>
      <c r="B15" s="14">
        <v>721.3</v>
      </c>
      <c r="C15" s="14">
        <v>788.6</v>
      </c>
      <c r="D15" s="14">
        <v>-67.3</v>
      </c>
    </row>
    <row r="16" spans="1:4" x14ac:dyDescent="0.35">
      <c r="A16" s="12">
        <v>1954</v>
      </c>
      <c r="B16" s="14">
        <v>699.1</v>
      </c>
      <c r="C16" s="14">
        <v>710.7</v>
      </c>
      <c r="D16" s="14">
        <v>-11.6</v>
      </c>
    </row>
    <row r="17" spans="1:4" x14ac:dyDescent="0.35">
      <c r="A17" s="12">
        <v>1955</v>
      </c>
      <c r="B17" s="14">
        <v>637.29999999999995</v>
      </c>
      <c r="C17" s="14">
        <v>666.4</v>
      </c>
      <c r="D17" s="14">
        <v>-29.1</v>
      </c>
    </row>
    <row r="18" spans="1:4" x14ac:dyDescent="0.35">
      <c r="A18" s="12">
        <v>1956</v>
      </c>
      <c r="B18" s="14">
        <v>696.4</v>
      </c>
      <c r="C18" s="14">
        <v>659.6</v>
      </c>
      <c r="D18" s="14">
        <v>36.799999999999997</v>
      </c>
    </row>
    <row r="19" spans="1:4" x14ac:dyDescent="0.35">
      <c r="A19" s="12">
        <v>1957</v>
      </c>
      <c r="B19" s="14">
        <v>711.7</v>
      </c>
      <c r="C19" s="14">
        <v>681.3</v>
      </c>
      <c r="D19" s="14">
        <v>30.4</v>
      </c>
    </row>
    <row r="20" spans="1:4" x14ac:dyDescent="0.35">
      <c r="A20" s="12">
        <v>1958</v>
      </c>
      <c r="B20" s="14">
        <v>668.6</v>
      </c>
      <c r="C20" s="14">
        <v>691.9</v>
      </c>
      <c r="D20" s="14">
        <v>-23.2</v>
      </c>
    </row>
    <row r="21" spans="1:4" x14ac:dyDescent="0.35">
      <c r="A21" s="12">
        <v>1959</v>
      </c>
      <c r="B21" s="14">
        <v>640.70000000000005</v>
      </c>
      <c r="C21" s="14">
        <v>744.5</v>
      </c>
      <c r="D21" s="14">
        <v>-103.9</v>
      </c>
    </row>
    <row r="22" spans="1:4" x14ac:dyDescent="0.35">
      <c r="A22" s="12">
        <v>1960</v>
      </c>
      <c r="B22" s="14">
        <v>735.8</v>
      </c>
      <c r="C22" s="14">
        <v>733.4</v>
      </c>
      <c r="D22" s="14">
        <v>2.4</v>
      </c>
    </row>
    <row r="23" spans="1:4" x14ac:dyDescent="0.35">
      <c r="A23" s="12">
        <v>1961</v>
      </c>
      <c r="B23" s="14">
        <v>735.1</v>
      </c>
      <c r="C23" s="14">
        <v>761.1</v>
      </c>
      <c r="D23" s="14">
        <v>-26</v>
      </c>
    </row>
    <row r="24" spans="1:4" x14ac:dyDescent="0.35">
      <c r="A24" s="12">
        <v>1962</v>
      </c>
      <c r="B24" s="14">
        <v>776.3</v>
      </c>
      <c r="C24" s="14">
        <v>831.9</v>
      </c>
      <c r="D24" s="14">
        <v>-55.7</v>
      </c>
    </row>
    <row r="25" spans="1:4" x14ac:dyDescent="0.35">
      <c r="A25" s="12">
        <v>1963</v>
      </c>
      <c r="B25" s="14">
        <v>794.6</v>
      </c>
      <c r="C25" s="14">
        <v>830.1</v>
      </c>
      <c r="D25" s="14">
        <v>-35.5</v>
      </c>
    </row>
    <row r="26" spans="1:4" x14ac:dyDescent="0.35">
      <c r="A26" s="12">
        <v>1964</v>
      </c>
      <c r="B26" s="14">
        <v>827.4</v>
      </c>
      <c r="C26" s="14">
        <v>870.9</v>
      </c>
      <c r="D26" s="14">
        <v>-43.5</v>
      </c>
    </row>
    <row r="27" spans="1:4" x14ac:dyDescent="0.35">
      <c r="A27" s="12">
        <v>1965</v>
      </c>
      <c r="B27" s="14">
        <v>847.7</v>
      </c>
      <c r="C27" s="14">
        <v>858</v>
      </c>
      <c r="D27" s="14">
        <v>-10.199999999999999</v>
      </c>
    </row>
    <row r="28" spans="1:4" x14ac:dyDescent="0.35">
      <c r="A28" s="12">
        <v>1966</v>
      </c>
      <c r="B28" s="14">
        <v>924</v>
      </c>
      <c r="C28" s="14">
        <v>950.1</v>
      </c>
      <c r="D28" s="14">
        <v>-26.1</v>
      </c>
    </row>
    <row r="29" spans="1:4" x14ac:dyDescent="0.35">
      <c r="A29" s="12">
        <v>1967</v>
      </c>
      <c r="B29" s="14">
        <v>1027.8</v>
      </c>
      <c r="C29" s="14">
        <v>1087.5</v>
      </c>
      <c r="D29" s="14">
        <v>-59.7</v>
      </c>
    </row>
    <row r="30" spans="1:4" x14ac:dyDescent="0.35">
      <c r="A30" s="12">
        <v>1968</v>
      </c>
      <c r="B30" s="14">
        <v>1019.1</v>
      </c>
      <c r="C30" s="14">
        <v>1186.8</v>
      </c>
      <c r="D30" s="14">
        <v>-167.6</v>
      </c>
    </row>
    <row r="31" spans="1:4" x14ac:dyDescent="0.35">
      <c r="A31" s="12">
        <v>1969</v>
      </c>
      <c r="B31" s="14">
        <v>1169.5</v>
      </c>
      <c r="C31" s="14">
        <v>1149.2</v>
      </c>
      <c r="D31" s="14">
        <v>20.3</v>
      </c>
    </row>
    <row r="32" spans="1:4" x14ac:dyDescent="0.35">
      <c r="A32" s="12">
        <v>1970</v>
      </c>
      <c r="B32" s="14">
        <v>1144.3</v>
      </c>
      <c r="C32" s="14">
        <v>1161.0999999999999</v>
      </c>
      <c r="D32" s="14">
        <v>-16.899999999999999</v>
      </c>
    </row>
    <row r="33" spans="1:4" x14ac:dyDescent="0.35">
      <c r="A33" s="12">
        <v>1971</v>
      </c>
      <c r="B33" s="14">
        <v>1039.0999999999999</v>
      </c>
      <c r="C33" s="14">
        <v>1167</v>
      </c>
      <c r="D33" s="14">
        <v>-127.9</v>
      </c>
    </row>
    <row r="34" spans="1:4" x14ac:dyDescent="0.35">
      <c r="A34" s="12">
        <v>1972</v>
      </c>
      <c r="B34" s="14">
        <v>1082</v>
      </c>
      <c r="C34" s="14">
        <v>1204</v>
      </c>
      <c r="D34" s="14">
        <v>-122</v>
      </c>
    </row>
    <row r="35" spans="1:4" x14ac:dyDescent="0.35">
      <c r="A35" s="12">
        <v>1973</v>
      </c>
      <c r="B35" s="14">
        <v>1153.4000000000001</v>
      </c>
      <c r="C35" s="14">
        <v>1227.9000000000001</v>
      </c>
      <c r="D35" s="14">
        <v>-74.5</v>
      </c>
    </row>
    <row r="36" spans="1:4" x14ac:dyDescent="0.35">
      <c r="A36" s="12">
        <v>1974</v>
      </c>
      <c r="B36" s="14">
        <v>1213</v>
      </c>
      <c r="C36" s="14">
        <v>1241.3</v>
      </c>
      <c r="D36" s="14">
        <v>-28.3</v>
      </c>
    </row>
    <row r="37" spans="1:4" x14ac:dyDescent="0.35">
      <c r="A37" s="12">
        <v>1975</v>
      </c>
      <c r="B37" s="14">
        <v>1174.0999999999999</v>
      </c>
      <c r="C37" s="14">
        <v>1398.1</v>
      </c>
      <c r="D37" s="14">
        <v>-224</v>
      </c>
    </row>
    <row r="38" spans="1:4" x14ac:dyDescent="0.35">
      <c r="A38" s="12">
        <v>1976</v>
      </c>
      <c r="B38" s="14">
        <v>1170.2</v>
      </c>
      <c r="C38" s="14">
        <v>1459.7</v>
      </c>
      <c r="D38" s="14">
        <v>-289.5</v>
      </c>
    </row>
    <row r="39" spans="1:4" x14ac:dyDescent="0.35">
      <c r="A39" s="12">
        <v>1977</v>
      </c>
      <c r="B39" s="14">
        <v>1301.5</v>
      </c>
      <c r="C39" s="14">
        <v>1497.9</v>
      </c>
      <c r="D39" s="14">
        <v>-196.4</v>
      </c>
    </row>
    <row r="40" spans="1:4" x14ac:dyDescent="0.35">
      <c r="A40" s="12">
        <v>1978</v>
      </c>
      <c r="B40" s="14">
        <v>1377.8</v>
      </c>
      <c r="C40" s="14">
        <v>1581.9</v>
      </c>
      <c r="D40" s="14">
        <v>-204.1</v>
      </c>
    </row>
    <row r="41" spans="1:4" x14ac:dyDescent="0.35">
      <c r="A41" s="12">
        <v>1979</v>
      </c>
      <c r="B41" s="14">
        <v>1468.5</v>
      </c>
      <c r="C41" s="14">
        <v>1597.6</v>
      </c>
      <c r="D41" s="14">
        <v>-129.1</v>
      </c>
    </row>
    <row r="42" spans="1:4" x14ac:dyDescent="0.35">
      <c r="A42" s="12">
        <v>1980</v>
      </c>
      <c r="B42" s="14">
        <v>1483</v>
      </c>
      <c r="C42" s="14">
        <v>1694.7</v>
      </c>
      <c r="D42" s="14">
        <v>-211.7</v>
      </c>
    </row>
    <row r="43" spans="1:4" x14ac:dyDescent="0.35">
      <c r="A43" s="12">
        <v>1981</v>
      </c>
      <c r="B43" s="14">
        <v>1546.1</v>
      </c>
      <c r="C43" s="14">
        <v>1749.8</v>
      </c>
      <c r="D43" s="14">
        <v>-203.7</v>
      </c>
    </row>
    <row r="44" spans="1:4" x14ac:dyDescent="0.35">
      <c r="A44" s="12">
        <v>1982</v>
      </c>
      <c r="B44" s="14">
        <v>1479</v>
      </c>
      <c r="C44" s="14">
        <v>1785.4</v>
      </c>
      <c r="D44" s="14">
        <v>-306.39999999999998</v>
      </c>
    </row>
    <row r="45" spans="1:4" x14ac:dyDescent="0.35">
      <c r="A45" s="12">
        <v>1983</v>
      </c>
      <c r="B45" s="14">
        <v>1369.3</v>
      </c>
      <c r="C45" s="14">
        <v>1843.1</v>
      </c>
      <c r="D45" s="14">
        <v>-473.8</v>
      </c>
    </row>
    <row r="46" spans="1:4" x14ac:dyDescent="0.35">
      <c r="A46" s="12">
        <v>1984</v>
      </c>
      <c r="B46" s="14">
        <v>1448.8</v>
      </c>
      <c r="C46" s="14">
        <v>1851.8</v>
      </c>
      <c r="D46" s="14">
        <v>-403</v>
      </c>
    </row>
    <row r="47" spans="1:4" x14ac:dyDescent="0.35">
      <c r="A47" s="12">
        <v>1985</v>
      </c>
      <c r="B47" s="14">
        <v>1539.5</v>
      </c>
      <c r="C47" s="14">
        <v>1984.8</v>
      </c>
      <c r="D47" s="14">
        <v>-445.3</v>
      </c>
    </row>
    <row r="48" spans="1:4" x14ac:dyDescent="0.35">
      <c r="A48" s="12">
        <v>1986</v>
      </c>
      <c r="B48" s="14">
        <v>1580.3</v>
      </c>
      <c r="C48" s="14">
        <v>2034.9</v>
      </c>
      <c r="D48" s="14">
        <v>-454.5</v>
      </c>
    </row>
    <row r="49" spans="1:4" x14ac:dyDescent="0.35">
      <c r="A49" s="12">
        <v>1987</v>
      </c>
      <c r="B49" s="14">
        <v>1704.5</v>
      </c>
      <c r="C49" s="14">
        <v>2003.2</v>
      </c>
      <c r="D49" s="14">
        <v>-298.7</v>
      </c>
    </row>
    <row r="50" spans="1:4" x14ac:dyDescent="0.35">
      <c r="A50" s="12">
        <v>1988</v>
      </c>
      <c r="B50" s="14">
        <v>1754.3</v>
      </c>
      <c r="C50" s="14">
        <v>2053.6999999999998</v>
      </c>
      <c r="D50" s="14">
        <v>-299.39999999999998</v>
      </c>
    </row>
    <row r="51" spans="1:4" x14ac:dyDescent="0.35">
      <c r="A51" s="12">
        <v>1989</v>
      </c>
      <c r="B51" s="14">
        <v>1840.1</v>
      </c>
      <c r="C51" s="14">
        <v>2123.5</v>
      </c>
      <c r="D51" s="14">
        <v>-283.39999999999998</v>
      </c>
    </row>
    <row r="52" spans="1:4" x14ac:dyDescent="0.35">
      <c r="A52" s="12">
        <v>1990</v>
      </c>
      <c r="B52" s="14">
        <v>1865.1</v>
      </c>
      <c r="C52" s="14">
        <v>2264.6</v>
      </c>
      <c r="D52" s="14">
        <v>-399.5</v>
      </c>
    </row>
    <row r="53" spans="1:4" x14ac:dyDescent="0.35">
      <c r="A53" s="12">
        <v>1991</v>
      </c>
      <c r="B53" s="14">
        <v>1826.2</v>
      </c>
      <c r="C53" s="14">
        <v>2292.1999999999998</v>
      </c>
      <c r="D53" s="14">
        <v>-466.1</v>
      </c>
    </row>
    <row r="54" spans="1:4" x14ac:dyDescent="0.35">
      <c r="A54" s="12">
        <v>1992</v>
      </c>
      <c r="B54" s="14">
        <v>1811.4</v>
      </c>
      <c r="C54" s="14">
        <v>2293.4</v>
      </c>
      <c r="D54" s="14">
        <v>-481.9</v>
      </c>
    </row>
    <row r="55" spans="1:4" x14ac:dyDescent="0.35">
      <c r="A55" s="12">
        <v>1993</v>
      </c>
      <c r="B55" s="14">
        <v>1860</v>
      </c>
      <c r="C55" s="14">
        <v>2271</v>
      </c>
      <c r="D55" s="14">
        <v>-411</v>
      </c>
    </row>
    <row r="56" spans="1:4" x14ac:dyDescent="0.35">
      <c r="A56" s="12">
        <v>1994</v>
      </c>
      <c r="B56" s="14">
        <v>1994.2</v>
      </c>
      <c r="C56" s="14">
        <v>2316.1999999999998</v>
      </c>
      <c r="D56" s="14">
        <v>-322</v>
      </c>
    </row>
    <row r="57" spans="1:4" x14ac:dyDescent="0.35">
      <c r="A57" s="12">
        <v>1995</v>
      </c>
      <c r="B57" s="14">
        <v>2079</v>
      </c>
      <c r="C57" s="14">
        <v>2331.1999999999998</v>
      </c>
      <c r="D57" s="14">
        <v>-252.2</v>
      </c>
    </row>
    <row r="58" spans="1:4" x14ac:dyDescent="0.35">
      <c r="A58" s="12">
        <v>1996</v>
      </c>
      <c r="B58" s="14">
        <v>2189.6999999999998</v>
      </c>
      <c r="C58" s="14">
        <v>2351.5</v>
      </c>
      <c r="D58" s="14">
        <v>-161.9</v>
      </c>
    </row>
    <row r="59" spans="1:4" x14ac:dyDescent="0.35">
      <c r="A59" s="12">
        <v>1997</v>
      </c>
      <c r="B59" s="14">
        <v>2330.3000000000002</v>
      </c>
      <c r="C59" s="14">
        <v>2362.6</v>
      </c>
      <c r="D59" s="14">
        <v>-32.299999999999997</v>
      </c>
    </row>
    <row r="60" spans="1:4" x14ac:dyDescent="0.35">
      <c r="A60" s="12">
        <v>1998</v>
      </c>
      <c r="B60" s="14">
        <v>2521.6</v>
      </c>
      <c r="C60" s="14">
        <v>2420.1</v>
      </c>
      <c r="D60" s="14">
        <v>101.4</v>
      </c>
    </row>
    <row r="61" spans="1:4" x14ac:dyDescent="0.35">
      <c r="A61" s="12">
        <v>1999</v>
      </c>
      <c r="B61" s="14">
        <v>2645.4</v>
      </c>
      <c r="C61" s="14">
        <v>2463.6</v>
      </c>
      <c r="D61" s="14">
        <v>181.8</v>
      </c>
    </row>
    <row r="62" spans="1:4" x14ac:dyDescent="0.35">
      <c r="A62" s="12">
        <v>2000</v>
      </c>
      <c r="B62" s="14">
        <v>2858</v>
      </c>
      <c r="C62" s="14">
        <v>2524.6</v>
      </c>
      <c r="D62" s="14">
        <v>333.4</v>
      </c>
    </row>
    <row r="63" spans="1:4" x14ac:dyDescent="0.35">
      <c r="A63" s="12">
        <v>2001</v>
      </c>
      <c r="B63" s="14">
        <v>2735.8</v>
      </c>
      <c r="C63" s="14">
        <v>2559.6</v>
      </c>
      <c r="D63" s="14">
        <v>176.2</v>
      </c>
    </row>
    <row r="64" spans="1:4" x14ac:dyDescent="0.35">
      <c r="A64" s="12">
        <v>2002</v>
      </c>
      <c r="B64" s="14">
        <v>2506.6</v>
      </c>
      <c r="C64" s="14">
        <v>2720</v>
      </c>
      <c r="D64" s="14">
        <v>-213.4</v>
      </c>
    </row>
    <row r="65" spans="1:4" x14ac:dyDescent="0.35">
      <c r="A65" s="12">
        <v>2003</v>
      </c>
      <c r="B65" s="14">
        <v>2341.1</v>
      </c>
      <c r="C65" s="14">
        <v>2837.1</v>
      </c>
      <c r="D65" s="14">
        <v>-496</v>
      </c>
    </row>
    <row r="66" spans="1:4" x14ac:dyDescent="0.35">
      <c r="A66" s="12">
        <v>2004</v>
      </c>
      <c r="B66" s="14">
        <v>2406.1</v>
      </c>
      <c r="C66" s="14">
        <v>2934.3</v>
      </c>
      <c r="D66" s="14">
        <v>-528.20000000000005</v>
      </c>
    </row>
    <row r="67" spans="1:4" x14ac:dyDescent="0.35">
      <c r="A67" s="12">
        <v>2005</v>
      </c>
      <c r="B67" s="14">
        <v>2665</v>
      </c>
      <c r="C67" s="14">
        <v>3059</v>
      </c>
      <c r="D67" s="14">
        <v>-393.9</v>
      </c>
    </row>
    <row r="68" spans="1:4" x14ac:dyDescent="0.35">
      <c r="A68" s="12">
        <v>2006</v>
      </c>
      <c r="B68" s="14">
        <v>2877.7</v>
      </c>
      <c r="C68" s="14">
        <v>3174.4</v>
      </c>
      <c r="D68" s="14">
        <v>-296.7</v>
      </c>
    </row>
    <row r="69" spans="1:4" x14ac:dyDescent="0.35">
      <c r="A69" s="12">
        <v>2007</v>
      </c>
      <c r="B69" s="14">
        <v>2983.6</v>
      </c>
      <c r="C69" s="14">
        <v>3170.3</v>
      </c>
      <c r="D69" s="14">
        <v>-186.7</v>
      </c>
    </row>
    <row r="70" spans="1:4" x14ac:dyDescent="0.35">
      <c r="A70" s="12">
        <v>2008</v>
      </c>
      <c r="B70" s="14">
        <v>2834.4</v>
      </c>
      <c r="C70" s="14">
        <v>3349.3</v>
      </c>
      <c r="D70" s="14">
        <v>-514.9</v>
      </c>
    </row>
    <row r="71" spans="1:4" x14ac:dyDescent="0.35">
      <c r="A71" s="12">
        <v>2009</v>
      </c>
      <c r="B71" s="14">
        <v>2372.4</v>
      </c>
      <c r="C71" s="14">
        <v>3964.5</v>
      </c>
      <c r="D71" s="14">
        <v>-1592.1</v>
      </c>
    </row>
    <row r="72" spans="1:4" x14ac:dyDescent="0.35">
      <c r="A72" s="12">
        <v>2010</v>
      </c>
      <c r="B72" s="14">
        <v>2386.3000000000002</v>
      </c>
      <c r="C72" s="14">
        <v>3814.5</v>
      </c>
      <c r="D72" s="14">
        <v>-1428.2</v>
      </c>
    </row>
    <row r="73" spans="1:4" x14ac:dyDescent="0.35">
      <c r="A73" s="12">
        <v>2011</v>
      </c>
      <c r="B73" s="14">
        <v>2484.1</v>
      </c>
      <c r="C73" s="14">
        <v>3885.5</v>
      </c>
      <c r="D73" s="14">
        <v>-1401.5</v>
      </c>
    </row>
    <row r="74" spans="1:4" x14ac:dyDescent="0.35">
      <c r="A74" s="12">
        <v>2012</v>
      </c>
      <c r="B74" s="14">
        <v>2592.6</v>
      </c>
      <c r="C74" s="14">
        <v>3731.8</v>
      </c>
      <c r="D74" s="14">
        <v>-1139.2</v>
      </c>
    </row>
    <row r="75" spans="1:4" x14ac:dyDescent="0.35">
      <c r="A75" s="12">
        <v>2013</v>
      </c>
      <c r="B75" s="14">
        <v>2892.5</v>
      </c>
      <c r="C75" s="14">
        <v>3601.1</v>
      </c>
      <c r="D75" s="14">
        <v>-708.5</v>
      </c>
    </row>
    <row r="76" spans="1:4" x14ac:dyDescent="0.35">
      <c r="A76" s="12">
        <v>2014</v>
      </c>
      <c r="B76" s="14">
        <v>3103.1</v>
      </c>
      <c r="C76" s="14">
        <v>3601</v>
      </c>
      <c r="D76" s="14">
        <v>-497.9</v>
      </c>
    </row>
    <row r="77" spans="1:4" x14ac:dyDescent="0.35">
      <c r="A77" s="12">
        <v>2015</v>
      </c>
      <c r="B77" s="14">
        <v>3324</v>
      </c>
      <c r="C77" s="14">
        <v>3776.1</v>
      </c>
      <c r="D77" s="14">
        <v>-452</v>
      </c>
    </row>
    <row r="78" spans="1:4" x14ac:dyDescent="0.35">
      <c r="A78" s="12">
        <v>2016</v>
      </c>
      <c r="B78" s="14">
        <v>3322.5</v>
      </c>
      <c r="C78" s="14">
        <v>3916.9</v>
      </c>
      <c r="D78" s="14">
        <v>-594.4</v>
      </c>
    </row>
    <row r="79" spans="1:4" x14ac:dyDescent="0.35">
      <c r="A79" s="12">
        <v>2017</v>
      </c>
      <c r="B79" s="14">
        <v>3316.2</v>
      </c>
      <c r="C79" s="14">
        <v>3981.6</v>
      </c>
      <c r="D79" s="14">
        <v>-665.4</v>
      </c>
    </row>
    <row r="80" spans="1:4" x14ac:dyDescent="0.35">
      <c r="A80" s="12">
        <v>2018</v>
      </c>
      <c r="B80" s="14">
        <v>3259.5</v>
      </c>
      <c r="C80" s="14">
        <v>4022.1</v>
      </c>
      <c r="D80" s="14">
        <v>-762.6</v>
      </c>
    </row>
    <row r="81" spans="1:4" x14ac:dyDescent="0.35">
      <c r="A81" s="12">
        <v>2019</v>
      </c>
      <c r="B81" s="14">
        <v>3334.3</v>
      </c>
      <c r="C81" s="14">
        <v>4281.3</v>
      </c>
      <c r="D81" s="14">
        <v>-946.9</v>
      </c>
    </row>
    <row r="82" spans="1:4" x14ac:dyDescent="0.35">
      <c r="A82" s="12">
        <v>2020</v>
      </c>
      <c r="B82" s="14">
        <v>3248</v>
      </c>
      <c r="C82" s="14">
        <v>6222</v>
      </c>
      <c r="D82" s="14">
        <v>-2973.9</v>
      </c>
    </row>
    <row r="83" spans="1:4" x14ac:dyDescent="0.35">
      <c r="A83" s="12">
        <v>2021</v>
      </c>
      <c r="B83" s="14">
        <v>3726.6</v>
      </c>
      <c r="C83" s="14">
        <v>6282.2</v>
      </c>
      <c r="D83" s="14">
        <v>-2555.6</v>
      </c>
    </row>
    <row r="84" spans="1:4" x14ac:dyDescent="0.35">
      <c r="A84" s="12">
        <v>2022</v>
      </c>
      <c r="B84" s="14">
        <v>4237.2</v>
      </c>
      <c r="C84" s="14">
        <v>5427.6</v>
      </c>
      <c r="D84" s="14">
        <v>-1190.4000000000001</v>
      </c>
    </row>
    <row r="85" spans="1:4" x14ac:dyDescent="0.35">
      <c r="A85" s="12">
        <v>2023</v>
      </c>
      <c r="B85" s="14">
        <v>3675.1</v>
      </c>
      <c r="C85" s="14">
        <v>5076.7</v>
      </c>
      <c r="D85" s="14">
        <v>-1401.6</v>
      </c>
    </row>
    <row r="86" spans="1:4" x14ac:dyDescent="0.35">
      <c r="A86" s="12">
        <v>2024</v>
      </c>
      <c r="B86" s="14">
        <v>3960.9</v>
      </c>
      <c r="C86" s="14">
        <v>5435</v>
      </c>
      <c r="D86" s="14">
        <v>-1474.1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A3522-9816-4320-B11B-D499D34E370C}">
  <dimension ref="A1:F92"/>
  <sheetViews>
    <sheetView workbookViewId="0">
      <selection activeCell="D1" sqref="D1"/>
    </sheetView>
  </sheetViews>
  <sheetFormatPr defaultRowHeight="14.5" x14ac:dyDescent="0.35"/>
  <cols>
    <col min="4" max="4" width="14.26953125" customWidth="1"/>
  </cols>
  <sheetData>
    <row r="1" spans="1:6" ht="39" x14ac:dyDescent="0.35">
      <c r="A1" s="16" t="s">
        <v>98</v>
      </c>
      <c r="B1" s="7" t="s">
        <v>8</v>
      </c>
      <c r="C1" s="7" t="s">
        <v>95</v>
      </c>
      <c r="D1" s="15" t="s">
        <v>272</v>
      </c>
      <c r="E1" s="17" t="s">
        <v>96</v>
      </c>
      <c r="F1" s="7" t="s">
        <v>97</v>
      </c>
    </row>
    <row r="2" spans="1:6" x14ac:dyDescent="0.35">
      <c r="A2" s="12">
        <v>1934</v>
      </c>
      <c r="B2" s="2">
        <v>420</v>
      </c>
      <c r="C2" s="2">
        <v>364</v>
      </c>
      <c r="D2" s="2">
        <v>30</v>
      </c>
      <c r="E2" s="2">
        <v>1354</v>
      </c>
      <c r="F2" s="2">
        <v>788</v>
      </c>
    </row>
    <row r="3" spans="1:6" x14ac:dyDescent="0.35">
      <c r="A3" s="12">
        <v>1935</v>
      </c>
      <c r="B3" s="2">
        <v>527</v>
      </c>
      <c r="C3" s="2">
        <v>529</v>
      </c>
      <c r="D3" s="2">
        <v>31</v>
      </c>
      <c r="E3" s="2">
        <v>1439</v>
      </c>
      <c r="F3" s="2">
        <v>1084</v>
      </c>
    </row>
    <row r="4" spans="1:6" x14ac:dyDescent="0.35">
      <c r="A4" s="12">
        <v>1936</v>
      </c>
      <c r="B4" s="2">
        <v>674</v>
      </c>
      <c r="C4" s="2">
        <v>719</v>
      </c>
      <c r="D4" s="2">
        <v>52</v>
      </c>
      <c r="E4" s="2">
        <v>1631</v>
      </c>
      <c r="F4" s="2">
        <v>847</v>
      </c>
    </row>
    <row r="5" spans="1:6" x14ac:dyDescent="0.35">
      <c r="A5" s="12">
        <v>1937</v>
      </c>
      <c r="B5" s="2">
        <v>1092</v>
      </c>
      <c r="C5" s="2">
        <v>1038</v>
      </c>
      <c r="D5" s="2">
        <v>580</v>
      </c>
      <c r="E5" s="2">
        <v>1876</v>
      </c>
      <c r="F5" s="2">
        <v>801</v>
      </c>
    </row>
    <row r="6" spans="1:6" x14ac:dyDescent="0.35">
      <c r="A6" s="12">
        <v>1938</v>
      </c>
      <c r="B6" s="2">
        <v>1286</v>
      </c>
      <c r="C6" s="2">
        <v>1287</v>
      </c>
      <c r="D6" s="2">
        <v>1541</v>
      </c>
      <c r="E6" s="2">
        <v>1863</v>
      </c>
      <c r="F6" s="2">
        <v>773</v>
      </c>
    </row>
    <row r="7" spans="1:6" x14ac:dyDescent="0.35">
      <c r="A7" s="12">
        <v>1939</v>
      </c>
      <c r="B7" s="2">
        <v>1029</v>
      </c>
      <c r="C7" s="2">
        <v>1127</v>
      </c>
      <c r="D7" s="2">
        <v>1593</v>
      </c>
      <c r="E7" s="2">
        <v>1871</v>
      </c>
      <c r="F7" s="2">
        <v>675</v>
      </c>
    </row>
    <row r="8" spans="1:6" x14ac:dyDescent="0.35">
      <c r="A8" s="12">
        <v>1940</v>
      </c>
      <c r="B8" s="2">
        <v>892</v>
      </c>
      <c r="C8" s="2">
        <v>1197</v>
      </c>
      <c r="D8" s="2">
        <v>1785</v>
      </c>
      <c r="E8" s="2">
        <v>1977</v>
      </c>
      <c r="F8" s="2">
        <v>698</v>
      </c>
    </row>
    <row r="9" spans="1:6" x14ac:dyDescent="0.35">
      <c r="A9" s="12">
        <v>1941</v>
      </c>
      <c r="B9" s="2">
        <v>1314</v>
      </c>
      <c r="C9" s="2">
        <v>2124</v>
      </c>
      <c r="D9" s="2">
        <v>1940</v>
      </c>
      <c r="E9" s="2">
        <v>2552</v>
      </c>
      <c r="F9" s="2">
        <v>781</v>
      </c>
    </row>
    <row r="10" spans="1:6" x14ac:dyDescent="0.35">
      <c r="A10" s="12">
        <v>1942</v>
      </c>
      <c r="B10" s="2">
        <v>3263</v>
      </c>
      <c r="C10" s="2">
        <v>4719</v>
      </c>
      <c r="D10" s="2">
        <v>2452</v>
      </c>
      <c r="E10" s="2">
        <v>3399</v>
      </c>
      <c r="F10" s="2">
        <v>801</v>
      </c>
    </row>
    <row r="11" spans="1:6" x14ac:dyDescent="0.35">
      <c r="A11" s="12">
        <v>1943</v>
      </c>
      <c r="B11" s="2">
        <v>6505</v>
      </c>
      <c r="C11" s="2">
        <v>9557</v>
      </c>
      <c r="D11" s="2">
        <v>3044</v>
      </c>
      <c r="E11" s="2">
        <v>4096</v>
      </c>
      <c r="F11" s="2">
        <v>800</v>
      </c>
    </row>
    <row r="12" spans="1:6" x14ac:dyDescent="0.35">
      <c r="A12" s="12">
        <v>1944</v>
      </c>
      <c r="B12" s="2">
        <v>19705</v>
      </c>
      <c r="C12" s="2">
        <v>14838</v>
      </c>
      <c r="D12" s="2">
        <v>3473</v>
      </c>
      <c r="E12" s="2">
        <v>4759</v>
      </c>
      <c r="F12" s="2">
        <v>972</v>
      </c>
    </row>
    <row r="13" spans="1:6" x14ac:dyDescent="0.35">
      <c r="A13" s="12">
        <v>1945</v>
      </c>
      <c r="B13" s="2">
        <v>18372</v>
      </c>
      <c r="C13" s="2">
        <v>15988</v>
      </c>
      <c r="D13" s="2">
        <v>3451</v>
      </c>
      <c r="E13" s="2">
        <v>6265</v>
      </c>
      <c r="F13" s="2">
        <v>1083</v>
      </c>
    </row>
    <row r="14" spans="1:6" x14ac:dyDescent="0.35">
      <c r="A14" s="12">
        <v>1946</v>
      </c>
      <c r="B14" s="2">
        <v>16098</v>
      </c>
      <c r="C14" s="2">
        <v>11883</v>
      </c>
      <c r="D14" s="2">
        <v>3115</v>
      </c>
      <c r="E14" s="2">
        <v>6998</v>
      </c>
      <c r="F14" s="2">
        <v>1202</v>
      </c>
    </row>
    <row r="15" spans="1:6" x14ac:dyDescent="0.35">
      <c r="A15" s="12">
        <v>1947</v>
      </c>
      <c r="B15" s="2">
        <v>17935</v>
      </c>
      <c r="C15" s="2">
        <v>8615</v>
      </c>
      <c r="D15" s="2">
        <v>3422</v>
      </c>
      <c r="E15" s="2">
        <v>7211</v>
      </c>
      <c r="F15" s="2">
        <v>1331</v>
      </c>
    </row>
    <row r="16" spans="1:6" x14ac:dyDescent="0.35">
      <c r="A16" s="12">
        <v>1948</v>
      </c>
      <c r="B16" s="2">
        <v>19315</v>
      </c>
      <c r="C16" s="2">
        <v>9678</v>
      </c>
      <c r="D16" s="2">
        <v>3751</v>
      </c>
      <c r="E16" s="2">
        <v>7356</v>
      </c>
      <c r="F16" s="2">
        <v>1461</v>
      </c>
    </row>
    <row r="17" spans="1:6" x14ac:dyDescent="0.35">
      <c r="A17" s="12">
        <v>1949</v>
      </c>
      <c r="B17" s="2">
        <v>15552</v>
      </c>
      <c r="C17" s="2">
        <v>11192</v>
      </c>
      <c r="D17" s="2">
        <v>3781</v>
      </c>
      <c r="E17" s="2">
        <v>7502</v>
      </c>
      <c r="F17" s="2">
        <v>1388</v>
      </c>
    </row>
    <row r="18" spans="1:6" x14ac:dyDescent="0.35">
      <c r="A18" s="12">
        <v>1950</v>
      </c>
      <c r="B18" s="2">
        <v>15755</v>
      </c>
      <c r="C18" s="2">
        <v>10449</v>
      </c>
      <c r="D18" s="2">
        <v>4338</v>
      </c>
      <c r="E18" s="2">
        <v>7550</v>
      </c>
      <c r="F18" s="2">
        <v>1351</v>
      </c>
    </row>
    <row r="19" spans="1:6" x14ac:dyDescent="0.35">
      <c r="A19" s="12">
        <v>1951</v>
      </c>
      <c r="B19" s="2">
        <v>21616</v>
      </c>
      <c r="C19" s="2">
        <v>14101</v>
      </c>
      <c r="D19" s="2">
        <v>5674</v>
      </c>
      <c r="E19" s="2">
        <v>8648</v>
      </c>
      <c r="F19" s="2">
        <v>1578</v>
      </c>
    </row>
    <row r="20" spans="1:6" x14ac:dyDescent="0.35">
      <c r="A20" s="12">
        <v>1952</v>
      </c>
      <c r="B20" s="2">
        <v>27934</v>
      </c>
      <c r="C20" s="2">
        <v>21226</v>
      </c>
      <c r="D20" s="2">
        <v>6445</v>
      </c>
      <c r="E20" s="2">
        <v>8852</v>
      </c>
      <c r="F20" s="2">
        <v>1710</v>
      </c>
    </row>
    <row r="21" spans="1:6" x14ac:dyDescent="0.35">
      <c r="A21" s="12">
        <v>1953</v>
      </c>
      <c r="B21" s="2">
        <v>29816</v>
      </c>
      <c r="C21" s="2">
        <v>21238</v>
      </c>
      <c r="D21" s="2">
        <v>6820</v>
      </c>
      <c r="E21" s="2">
        <v>9877</v>
      </c>
      <c r="F21" s="2">
        <v>1857</v>
      </c>
    </row>
    <row r="22" spans="1:6" x14ac:dyDescent="0.35">
      <c r="A22" s="12">
        <v>1954</v>
      </c>
      <c r="B22" s="2">
        <v>29542</v>
      </c>
      <c r="C22" s="2">
        <v>21101</v>
      </c>
      <c r="D22" s="2">
        <v>7208</v>
      </c>
      <c r="E22" s="2">
        <v>9945</v>
      </c>
      <c r="F22" s="2">
        <v>1905</v>
      </c>
    </row>
    <row r="23" spans="1:6" x14ac:dyDescent="0.35">
      <c r="A23" s="12">
        <v>1955</v>
      </c>
      <c r="B23" s="2">
        <v>28747</v>
      </c>
      <c r="C23" s="2">
        <v>17861</v>
      </c>
      <c r="D23" s="2">
        <v>7862</v>
      </c>
      <c r="E23" s="2">
        <v>9131</v>
      </c>
      <c r="F23" s="2">
        <v>1850</v>
      </c>
    </row>
    <row r="24" spans="1:6" x14ac:dyDescent="0.35">
      <c r="A24" s="12">
        <v>1956</v>
      </c>
      <c r="B24" s="2">
        <v>32188</v>
      </c>
      <c r="C24" s="2">
        <v>20880</v>
      </c>
      <c r="D24" s="2">
        <v>9320</v>
      </c>
      <c r="E24" s="2">
        <v>9929</v>
      </c>
      <c r="F24" s="2">
        <v>2270</v>
      </c>
    </row>
    <row r="25" spans="1:6" x14ac:dyDescent="0.35">
      <c r="A25" s="12">
        <v>1957</v>
      </c>
      <c r="B25" s="2">
        <v>35620</v>
      </c>
      <c r="C25" s="2">
        <v>21167</v>
      </c>
      <c r="D25" s="2">
        <v>9997</v>
      </c>
      <c r="E25" s="2">
        <v>10534</v>
      </c>
      <c r="F25" s="2">
        <v>2672</v>
      </c>
    </row>
    <row r="26" spans="1:6" x14ac:dyDescent="0.35">
      <c r="A26" s="12">
        <v>1958</v>
      </c>
      <c r="B26" s="2">
        <v>34724</v>
      </c>
      <c r="C26" s="2">
        <v>20074</v>
      </c>
      <c r="D26" s="2">
        <v>11239</v>
      </c>
      <c r="E26" s="2">
        <v>10638</v>
      </c>
      <c r="F26" s="2">
        <v>2961</v>
      </c>
    </row>
    <row r="27" spans="1:6" x14ac:dyDescent="0.35">
      <c r="A27" s="12">
        <v>1959</v>
      </c>
      <c r="B27" s="2">
        <v>36719</v>
      </c>
      <c r="C27" s="2">
        <v>17309</v>
      </c>
      <c r="D27" s="2">
        <v>11722</v>
      </c>
      <c r="E27" s="2">
        <v>10578</v>
      </c>
      <c r="F27" s="2">
        <v>2921</v>
      </c>
    </row>
    <row r="28" spans="1:6" x14ac:dyDescent="0.35">
      <c r="A28" s="12">
        <v>1960</v>
      </c>
      <c r="B28" s="2">
        <v>40715</v>
      </c>
      <c r="C28" s="2">
        <v>21494</v>
      </c>
      <c r="D28" s="2">
        <v>14683</v>
      </c>
      <c r="E28" s="2">
        <v>11676</v>
      </c>
      <c r="F28" s="2">
        <v>3923</v>
      </c>
    </row>
    <row r="29" spans="1:6" x14ac:dyDescent="0.35">
      <c r="A29" s="12">
        <v>1961</v>
      </c>
      <c r="B29" s="2">
        <v>41338</v>
      </c>
      <c r="C29" s="2">
        <v>20954</v>
      </c>
      <c r="D29" s="2">
        <v>16439</v>
      </c>
      <c r="E29" s="2">
        <v>11860</v>
      </c>
      <c r="F29" s="2">
        <v>3796</v>
      </c>
    </row>
    <row r="30" spans="1:6" x14ac:dyDescent="0.35">
      <c r="A30" s="12">
        <v>1962</v>
      </c>
      <c r="B30" s="2">
        <v>45571</v>
      </c>
      <c r="C30" s="2">
        <v>20523</v>
      </c>
      <c r="D30" s="2">
        <v>17046</v>
      </c>
      <c r="E30" s="2">
        <v>12534</v>
      </c>
      <c r="F30" s="2">
        <v>4001</v>
      </c>
    </row>
    <row r="31" spans="1:6" x14ac:dyDescent="0.35">
      <c r="A31" s="12">
        <v>1963</v>
      </c>
      <c r="B31" s="2">
        <v>47588</v>
      </c>
      <c r="C31" s="2">
        <v>21579</v>
      </c>
      <c r="D31" s="2">
        <v>19804</v>
      </c>
      <c r="E31" s="2">
        <v>13194</v>
      </c>
      <c r="F31" s="2">
        <v>4395</v>
      </c>
    </row>
    <row r="32" spans="1:6" x14ac:dyDescent="0.35">
      <c r="A32" s="12">
        <v>1964</v>
      </c>
      <c r="B32" s="2">
        <v>48697</v>
      </c>
      <c r="C32" s="2">
        <v>23493</v>
      </c>
      <c r="D32" s="2">
        <v>21963</v>
      </c>
      <c r="E32" s="2">
        <v>13731</v>
      </c>
      <c r="F32" s="2">
        <v>4731</v>
      </c>
    </row>
    <row r="33" spans="1:6" x14ac:dyDescent="0.35">
      <c r="A33" s="12">
        <v>1965</v>
      </c>
      <c r="B33" s="2">
        <v>48792</v>
      </c>
      <c r="C33" s="2">
        <v>25461</v>
      </c>
      <c r="D33" s="2">
        <v>22242</v>
      </c>
      <c r="E33" s="2">
        <v>14570</v>
      </c>
      <c r="F33" s="2">
        <v>5753</v>
      </c>
    </row>
    <row r="34" spans="1:6" x14ac:dyDescent="0.35">
      <c r="A34" s="12">
        <v>1966</v>
      </c>
      <c r="B34" s="2">
        <v>55446</v>
      </c>
      <c r="C34" s="2">
        <v>30073</v>
      </c>
      <c r="D34" s="2">
        <v>25546</v>
      </c>
      <c r="E34" s="2">
        <v>13062</v>
      </c>
      <c r="F34" s="2">
        <v>6708</v>
      </c>
    </row>
    <row r="35" spans="1:6" x14ac:dyDescent="0.35">
      <c r="A35" s="12">
        <v>1967</v>
      </c>
      <c r="B35" s="2">
        <v>61526</v>
      </c>
      <c r="C35" s="2">
        <v>33971</v>
      </c>
      <c r="D35" s="2">
        <v>32619</v>
      </c>
      <c r="E35" s="2">
        <v>13719</v>
      </c>
      <c r="F35" s="2">
        <v>6987</v>
      </c>
    </row>
    <row r="36" spans="1:6" x14ac:dyDescent="0.35">
      <c r="A36" s="12">
        <v>1968</v>
      </c>
      <c r="B36" s="2">
        <v>68726</v>
      </c>
      <c r="C36" s="2">
        <v>28665</v>
      </c>
      <c r="D36" s="2">
        <v>33923</v>
      </c>
      <c r="E36" s="2">
        <v>14079</v>
      </c>
      <c r="F36" s="2">
        <v>7580</v>
      </c>
    </row>
    <row r="37" spans="1:6" x14ac:dyDescent="0.35">
      <c r="A37" s="12">
        <v>1969</v>
      </c>
      <c r="B37" s="2">
        <v>87249</v>
      </c>
      <c r="C37" s="2">
        <v>36678</v>
      </c>
      <c r="D37" s="2">
        <v>39015</v>
      </c>
      <c r="E37" s="2">
        <v>15222</v>
      </c>
      <c r="F37" s="2">
        <v>8718</v>
      </c>
    </row>
    <row r="38" spans="1:6" x14ac:dyDescent="0.35">
      <c r="A38" s="12">
        <v>1970</v>
      </c>
      <c r="B38" s="2">
        <v>90412</v>
      </c>
      <c r="C38" s="2">
        <v>32829</v>
      </c>
      <c r="D38" s="2">
        <v>44362</v>
      </c>
      <c r="E38" s="2">
        <v>15705</v>
      </c>
      <c r="F38" s="2">
        <v>9499</v>
      </c>
    </row>
    <row r="39" spans="1:6" x14ac:dyDescent="0.35">
      <c r="A39" s="12">
        <v>1971</v>
      </c>
      <c r="B39" s="2">
        <v>86230</v>
      </c>
      <c r="C39" s="2">
        <v>26785</v>
      </c>
      <c r="D39" s="2">
        <v>47325</v>
      </c>
      <c r="E39" s="2">
        <v>16614</v>
      </c>
      <c r="F39" s="2">
        <v>10185</v>
      </c>
    </row>
    <row r="40" spans="1:6" x14ac:dyDescent="0.35">
      <c r="A40" s="12">
        <v>1972</v>
      </c>
      <c r="B40" s="2">
        <v>94737</v>
      </c>
      <c r="C40" s="2">
        <v>32166</v>
      </c>
      <c r="D40" s="2">
        <v>52574</v>
      </c>
      <c r="E40" s="2">
        <v>15477</v>
      </c>
      <c r="F40" s="2">
        <v>12355</v>
      </c>
    </row>
    <row r="41" spans="1:6" x14ac:dyDescent="0.35">
      <c r="A41" s="12">
        <v>1973</v>
      </c>
      <c r="B41" s="2">
        <v>103246</v>
      </c>
      <c r="C41" s="2">
        <v>36153</v>
      </c>
      <c r="D41" s="2">
        <v>63115</v>
      </c>
      <c r="E41" s="2">
        <v>16260</v>
      </c>
      <c r="F41" s="2">
        <v>12026</v>
      </c>
    </row>
    <row r="42" spans="1:6" x14ac:dyDescent="0.35">
      <c r="A42" s="12">
        <v>1974</v>
      </c>
      <c r="B42" s="2">
        <v>118952</v>
      </c>
      <c r="C42" s="2">
        <v>38620</v>
      </c>
      <c r="D42" s="2">
        <v>75071</v>
      </c>
      <c r="E42" s="2">
        <v>16844</v>
      </c>
      <c r="F42" s="2">
        <v>13737</v>
      </c>
    </row>
    <row r="43" spans="1:6" x14ac:dyDescent="0.35">
      <c r="A43" s="12">
        <v>1975</v>
      </c>
      <c r="B43" s="2">
        <v>122386</v>
      </c>
      <c r="C43" s="2">
        <v>40621</v>
      </c>
      <c r="D43" s="2">
        <v>84534</v>
      </c>
      <c r="E43" s="2">
        <v>16551</v>
      </c>
      <c r="F43" s="2">
        <v>14998</v>
      </c>
    </row>
    <row r="44" spans="1:6" x14ac:dyDescent="0.35">
      <c r="A44" s="12">
        <v>1976</v>
      </c>
      <c r="B44" s="2">
        <v>131603</v>
      </c>
      <c r="C44" s="2">
        <v>41409</v>
      </c>
      <c r="D44" s="2">
        <v>90769</v>
      </c>
      <c r="E44" s="2">
        <v>16963</v>
      </c>
      <c r="F44" s="2">
        <v>17317</v>
      </c>
    </row>
    <row r="45" spans="1:6" x14ac:dyDescent="0.35">
      <c r="A45" s="12">
        <v>1977</v>
      </c>
      <c r="B45" s="2">
        <v>157626</v>
      </c>
      <c r="C45" s="2">
        <v>54892</v>
      </c>
      <c r="D45" s="2">
        <v>106485</v>
      </c>
      <c r="E45" s="2">
        <v>17548</v>
      </c>
      <c r="F45" s="2">
        <v>19008</v>
      </c>
    </row>
    <row r="46" spans="1:6" x14ac:dyDescent="0.35">
      <c r="A46" s="12">
        <v>1978</v>
      </c>
      <c r="B46" s="2">
        <v>180988</v>
      </c>
      <c r="C46" s="2">
        <v>59952</v>
      </c>
      <c r="D46" s="2">
        <v>120967</v>
      </c>
      <c r="E46" s="2">
        <v>18376</v>
      </c>
      <c r="F46" s="2">
        <v>19278</v>
      </c>
    </row>
    <row r="47" spans="1:6" x14ac:dyDescent="0.35">
      <c r="A47" s="12">
        <v>1979</v>
      </c>
      <c r="B47" s="2">
        <v>217841</v>
      </c>
      <c r="C47" s="2">
        <v>65677</v>
      </c>
      <c r="D47" s="2">
        <v>138939</v>
      </c>
      <c r="E47" s="2">
        <v>18745</v>
      </c>
      <c r="F47" s="2">
        <v>22101</v>
      </c>
    </row>
    <row r="48" spans="1:6" x14ac:dyDescent="0.35">
      <c r="A48" s="12">
        <v>1980</v>
      </c>
      <c r="B48" s="2">
        <v>244069</v>
      </c>
      <c r="C48" s="2">
        <v>64600</v>
      </c>
      <c r="D48" s="2">
        <v>157803</v>
      </c>
      <c r="E48" s="2">
        <v>24329</v>
      </c>
      <c r="F48" s="2">
        <v>26311</v>
      </c>
    </row>
    <row r="49" spans="1:6" x14ac:dyDescent="0.35">
      <c r="A49" s="12">
        <v>1981</v>
      </c>
      <c r="B49" s="2">
        <v>285917</v>
      </c>
      <c r="C49" s="2">
        <v>61137</v>
      </c>
      <c r="D49" s="2">
        <v>182720</v>
      </c>
      <c r="E49" s="2">
        <v>40839</v>
      </c>
      <c r="F49" s="2">
        <v>28659</v>
      </c>
    </row>
    <row r="50" spans="1:6" x14ac:dyDescent="0.35">
      <c r="A50" s="12">
        <v>1982</v>
      </c>
      <c r="B50" s="2">
        <v>297744</v>
      </c>
      <c r="C50" s="2">
        <v>49207</v>
      </c>
      <c r="D50" s="2">
        <v>201498</v>
      </c>
      <c r="E50" s="2">
        <v>36311</v>
      </c>
      <c r="F50" s="2">
        <v>33006</v>
      </c>
    </row>
    <row r="51" spans="1:6" x14ac:dyDescent="0.35">
      <c r="A51" s="12">
        <v>1983</v>
      </c>
      <c r="B51" s="2">
        <v>288938</v>
      </c>
      <c r="C51" s="2">
        <v>37022</v>
      </c>
      <c r="D51" s="2">
        <v>208994</v>
      </c>
      <c r="E51" s="2">
        <v>35300</v>
      </c>
      <c r="F51" s="2">
        <v>30309</v>
      </c>
    </row>
    <row r="52" spans="1:6" x14ac:dyDescent="0.35">
      <c r="A52" s="12">
        <v>1984</v>
      </c>
      <c r="B52" s="2">
        <v>298415</v>
      </c>
      <c r="C52" s="2">
        <v>56893</v>
      </c>
      <c r="D52" s="2">
        <v>239376</v>
      </c>
      <c r="E52" s="2">
        <v>37361</v>
      </c>
      <c r="F52" s="2">
        <v>34392</v>
      </c>
    </row>
    <row r="53" spans="1:6" x14ac:dyDescent="0.35">
      <c r="A53" s="12">
        <v>1985</v>
      </c>
      <c r="B53" s="2">
        <v>334531</v>
      </c>
      <c r="C53" s="2">
        <v>61331</v>
      </c>
      <c r="D53" s="2">
        <v>265163</v>
      </c>
      <c r="E53" s="2">
        <v>35992</v>
      </c>
      <c r="F53" s="2">
        <v>37020</v>
      </c>
    </row>
    <row r="54" spans="1:6" x14ac:dyDescent="0.35">
      <c r="A54" s="12">
        <v>1986</v>
      </c>
      <c r="B54" s="2">
        <v>348959</v>
      </c>
      <c r="C54" s="2">
        <v>63143</v>
      </c>
      <c r="D54" s="2">
        <v>283901</v>
      </c>
      <c r="E54" s="2">
        <v>32919</v>
      </c>
      <c r="F54" s="2">
        <v>40233</v>
      </c>
    </row>
    <row r="55" spans="1:6" x14ac:dyDescent="0.35">
      <c r="A55" s="12">
        <v>1987</v>
      </c>
      <c r="B55" s="2">
        <v>392557</v>
      </c>
      <c r="C55" s="2">
        <v>83926</v>
      </c>
      <c r="D55" s="2">
        <v>303318</v>
      </c>
      <c r="E55" s="2">
        <v>32457</v>
      </c>
      <c r="F55" s="2">
        <v>42029</v>
      </c>
    </row>
    <row r="56" spans="1:6" x14ac:dyDescent="0.35">
      <c r="A56" s="12">
        <v>1988</v>
      </c>
      <c r="B56" s="2">
        <v>401181</v>
      </c>
      <c r="C56" s="2">
        <v>94508</v>
      </c>
      <c r="D56" s="2">
        <v>334335</v>
      </c>
      <c r="E56" s="2">
        <v>35227</v>
      </c>
      <c r="F56" s="2">
        <v>43987</v>
      </c>
    </row>
    <row r="57" spans="1:6" x14ac:dyDescent="0.35">
      <c r="A57" s="12">
        <v>1989</v>
      </c>
      <c r="B57" s="2">
        <v>445690</v>
      </c>
      <c r="C57" s="2">
        <v>103291</v>
      </c>
      <c r="D57" s="2">
        <v>359416</v>
      </c>
      <c r="E57" s="2">
        <v>34386</v>
      </c>
      <c r="F57" s="2">
        <v>48321</v>
      </c>
    </row>
    <row r="58" spans="1:6" x14ac:dyDescent="0.35">
      <c r="A58" s="12">
        <v>1990</v>
      </c>
      <c r="B58" s="2">
        <v>466884</v>
      </c>
      <c r="C58" s="2">
        <v>93507</v>
      </c>
      <c r="D58" s="2">
        <v>380047</v>
      </c>
      <c r="E58" s="2">
        <v>35345</v>
      </c>
      <c r="F58" s="2">
        <v>56174</v>
      </c>
    </row>
    <row r="59" spans="1:6" x14ac:dyDescent="0.35">
      <c r="A59" s="12">
        <v>1991</v>
      </c>
      <c r="B59" s="2">
        <v>467827</v>
      </c>
      <c r="C59" s="2">
        <v>98086</v>
      </c>
      <c r="D59" s="2">
        <v>396015</v>
      </c>
      <c r="E59" s="2">
        <v>42402</v>
      </c>
      <c r="F59" s="2">
        <v>50657</v>
      </c>
    </row>
    <row r="60" spans="1:6" x14ac:dyDescent="0.35">
      <c r="A60" s="12">
        <v>1992</v>
      </c>
      <c r="B60" s="2">
        <v>475964</v>
      </c>
      <c r="C60" s="2">
        <v>100270</v>
      </c>
      <c r="D60" s="2">
        <v>413688</v>
      </c>
      <c r="E60" s="2">
        <v>45569</v>
      </c>
      <c r="F60" s="2">
        <v>55717</v>
      </c>
    </row>
    <row r="61" spans="1:6" x14ac:dyDescent="0.35">
      <c r="A61" s="12">
        <v>1993</v>
      </c>
      <c r="B61" s="2">
        <v>509680</v>
      </c>
      <c r="C61" s="2">
        <v>117520</v>
      </c>
      <c r="D61" s="2">
        <v>428299</v>
      </c>
      <c r="E61" s="2">
        <v>48057</v>
      </c>
      <c r="F61" s="2">
        <v>50778</v>
      </c>
    </row>
    <row r="62" spans="1:6" x14ac:dyDescent="0.35">
      <c r="A62" s="12">
        <v>1994</v>
      </c>
      <c r="B62" s="2">
        <v>543055</v>
      </c>
      <c r="C62" s="2">
        <v>140385</v>
      </c>
      <c r="D62" s="2">
        <v>461475</v>
      </c>
      <c r="E62" s="2">
        <v>55225</v>
      </c>
      <c r="F62" s="2">
        <v>58427</v>
      </c>
    </row>
    <row r="63" spans="1:6" x14ac:dyDescent="0.35">
      <c r="A63" s="12">
        <v>1995</v>
      </c>
      <c r="B63" s="2">
        <v>590244</v>
      </c>
      <c r="C63" s="2">
        <v>157004</v>
      </c>
      <c r="D63" s="2">
        <v>484473</v>
      </c>
      <c r="E63" s="2">
        <v>57484</v>
      </c>
      <c r="F63" s="2">
        <v>62585</v>
      </c>
    </row>
    <row r="64" spans="1:6" x14ac:dyDescent="0.35">
      <c r="A64" s="12">
        <v>1996</v>
      </c>
      <c r="B64" s="2">
        <v>656417</v>
      </c>
      <c r="C64" s="2">
        <v>171824</v>
      </c>
      <c r="D64" s="2">
        <v>509414</v>
      </c>
      <c r="E64" s="2">
        <v>54014</v>
      </c>
      <c r="F64" s="2">
        <v>61384</v>
      </c>
    </row>
    <row r="65" spans="1:6" x14ac:dyDescent="0.35">
      <c r="A65" s="12">
        <v>1997</v>
      </c>
      <c r="B65" s="2">
        <v>737466</v>
      </c>
      <c r="C65" s="2">
        <v>182293</v>
      </c>
      <c r="D65" s="2">
        <v>539371</v>
      </c>
      <c r="E65" s="2">
        <v>56924</v>
      </c>
      <c r="F65" s="2">
        <v>63178</v>
      </c>
    </row>
    <row r="66" spans="1:6" x14ac:dyDescent="0.35">
      <c r="A66" s="12">
        <v>1998</v>
      </c>
      <c r="B66" s="2">
        <v>828586</v>
      </c>
      <c r="C66" s="2">
        <v>188677</v>
      </c>
      <c r="D66" s="2">
        <v>571831</v>
      </c>
      <c r="E66" s="2">
        <v>57673</v>
      </c>
      <c r="F66" s="2">
        <v>74961</v>
      </c>
    </row>
    <row r="67" spans="1:6" x14ac:dyDescent="0.35">
      <c r="A67" s="12">
        <v>1999</v>
      </c>
      <c r="B67" s="2">
        <v>879480</v>
      </c>
      <c r="C67" s="2">
        <v>184680</v>
      </c>
      <c r="D67" s="2">
        <v>611833</v>
      </c>
      <c r="E67" s="2">
        <v>70414</v>
      </c>
      <c r="F67" s="2">
        <v>81045</v>
      </c>
    </row>
    <row r="68" spans="1:6" x14ac:dyDescent="0.35">
      <c r="A68" s="12">
        <v>2000</v>
      </c>
      <c r="B68" s="2">
        <v>1004462</v>
      </c>
      <c r="C68" s="2">
        <v>207289</v>
      </c>
      <c r="D68" s="2">
        <v>652852</v>
      </c>
      <c r="E68" s="2">
        <v>68865</v>
      </c>
      <c r="F68" s="2">
        <v>91723</v>
      </c>
    </row>
    <row r="69" spans="1:6" x14ac:dyDescent="0.35">
      <c r="A69" s="12">
        <v>2001</v>
      </c>
      <c r="B69" s="2">
        <v>994339</v>
      </c>
      <c r="C69" s="2">
        <v>151075</v>
      </c>
      <c r="D69" s="2">
        <v>693967</v>
      </c>
      <c r="E69" s="2">
        <v>66232</v>
      </c>
      <c r="F69" s="2">
        <v>85469</v>
      </c>
    </row>
    <row r="70" spans="1:6" x14ac:dyDescent="0.35">
      <c r="A70" s="12">
        <v>2002</v>
      </c>
      <c r="B70" s="2">
        <v>858345</v>
      </c>
      <c r="C70" s="2">
        <v>148044</v>
      </c>
      <c r="D70" s="2">
        <v>700760</v>
      </c>
      <c r="E70" s="2">
        <v>66989</v>
      </c>
      <c r="F70" s="2">
        <v>78998</v>
      </c>
    </row>
    <row r="71" spans="1:6" x14ac:dyDescent="0.35">
      <c r="A71" s="12">
        <v>2003</v>
      </c>
      <c r="B71" s="2">
        <v>793699</v>
      </c>
      <c r="C71" s="2">
        <v>131778</v>
      </c>
      <c r="D71" s="2">
        <v>712978</v>
      </c>
      <c r="E71" s="2">
        <v>67524</v>
      </c>
      <c r="F71" s="2">
        <v>76335</v>
      </c>
    </row>
    <row r="72" spans="1:6" x14ac:dyDescent="0.35">
      <c r="A72" s="12">
        <v>2004</v>
      </c>
      <c r="B72" s="2">
        <v>808959</v>
      </c>
      <c r="C72" s="2">
        <v>189371</v>
      </c>
      <c r="D72" s="2">
        <v>733407</v>
      </c>
      <c r="E72" s="2">
        <v>69855</v>
      </c>
      <c r="F72" s="2">
        <v>78522</v>
      </c>
    </row>
    <row r="73" spans="1:6" x14ac:dyDescent="0.35">
      <c r="A73" s="12">
        <v>2005</v>
      </c>
      <c r="B73" s="2">
        <v>927222</v>
      </c>
      <c r="C73" s="2">
        <v>278282</v>
      </c>
      <c r="D73" s="2">
        <v>794125</v>
      </c>
      <c r="E73" s="2">
        <v>73094</v>
      </c>
      <c r="F73" s="2">
        <v>80888</v>
      </c>
    </row>
    <row r="74" spans="1:6" x14ac:dyDescent="0.35">
      <c r="A74" s="12">
        <v>2006</v>
      </c>
      <c r="B74" s="2">
        <v>1043908</v>
      </c>
      <c r="C74" s="2">
        <v>353915</v>
      </c>
      <c r="D74" s="2">
        <v>837821</v>
      </c>
      <c r="E74" s="2">
        <v>73961</v>
      </c>
      <c r="F74" s="2">
        <v>97264</v>
      </c>
    </row>
    <row r="75" spans="1:6" x14ac:dyDescent="0.35">
      <c r="A75" s="12">
        <v>2007</v>
      </c>
      <c r="B75" s="2">
        <v>1163472</v>
      </c>
      <c r="C75" s="2">
        <v>370243</v>
      </c>
      <c r="D75" s="2">
        <v>869607</v>
      </c>
      <c r="E75" s="2">
        <v>65069</v>
      </c>
      <c r="F75" s="2">
        <v>99594</v>
      </c>
    </row>
    <row r="76" spans="1:6" x14ac:dyDescent="0.35">
      <c r="A76" s="12">
        <v>2008</v>
      </c>
      <c r="B76" s="2">
        <v>1145747</v>
      </c>
      <c r="C76" s="2">
        <v>304346</v>
      </c>
      <c r="D76" s="2">
        <v>900155</v>
      </c>
      <c r="E76" s="2">
        <v>67334</v>
      </c>
      <c r="F76" s="2">
        <v>106409</v>
      </c>
    </row>
    <row r="77" spans="1:6" x14ac:dyDescent="0.35">
      <c r="A77" s="12">
        <v>2009</v>
      </c>
      <c r="B77" s="2">
        <v>915308</v>
      </c>
      <c r="C77" s="2">
        <v>138229</v>
      </c>
      <c r="D77" s="2">
        <v>890917</v>
      </c>
      <c r="E77" s="2">
        <v>62483</v>
      </c>
      <c r="F77" s="2">
        <v>98052</v>
      </c>
    </row>
    <row r="78" spans="1:6" x14ac:dyDescent="0.35">
      <c r="A78" s="12">
        <v>2010</v>
      </c>
      <c r="B78" s="2">
        <v>898549</v>
      </c>
      <c r="C78" s="2">
        <v>191437</v>
      </c>
      <c r="D78" s="2">
        <v>864814</v>
      </c>
      <c r="E78" s="2">
        <v>66909</v>
      </c>
      <c r="F78" s="2">
        <v>140997</v>
      </c>
    </row>
    <row r="79" spans="1:6" x14ac:dyDescent="0.35">
      <c r="A79" s="12">
        <v>2011</v>
      </c>
      <c r="B79" s="2">
        <v>1091473</v>
      </c>
      <c r="C79" s="2">
        <v>181085</v>
      </c>
      <c r="D79" s="2">
        <v>818792</v>
      </c>
      <c r="E79" s="2">
        <v>72381</v>
      </c>
      <c r="F79" s="2">
        <v>139735</v>
      </c>
    </row>
    <row r="80" spans="1:6" x14ac:dyDescent="0.35">
      <c r="A80" s="12">
        <v>2012</v>
      </c>
      <c r="B80" s="2">
        <v>1132206</v>
      </c>
      <c r="C80" s="2">
        <v>242289</v>
      </c>
      <c r="D80" s="2">
        <v>845314</v>
      </c>
      <c r="E80" s="2">
        <v>79061</v>
      </c>
      <c r="F80" s="2">
        <v>151120</v>
      </c>
    </row>
    <row r="81" spans="1:6" x14ac:dyDescent="0.35">
      <c r="A81" s="12">
        <v>2013</v>
      </c>
      <c r="B81" s="2">
        <v>1316405</v>
      </c>
      <c r="C81" s="2">
        <v>273506</v>
      </c>
      <c r="D81" s="2">
        <v>947820</v>
      </c>
      <c r="E81" s="2">
        <v>84007</v>
      </c>
      <c r="F81" s="2">
        <v>153368</v>
      </c>
    </row>
    <row r="82" spans="1:6" x14ac:dyDescent="0.35">
      <c r="A82" s="12">
        <v>2014</v>
      </c>
      <c r="B82" s="2">
        <v>1394568</v>
      </c>
      <c r="C82" s="2">
        <v>320731</v>
      </c>
      <c r="D82" s="2">
        <v>1023458</v>
      </c>
      <c r="E82" s="2">
        <v>93368</v>
      </c>
      <c r="F82" s="2">
        <v>189366</v>
      </c>
    </row>
    <row r="83" spans="1:6" x14ac:dyDescent="0.35">
      <c r="A83" s="12">
        <v>2015</v>
      </c>
      <c r="B83" s="2">
        <v>1540802</v>
      </c>
      <c r="C83" s="2">
        <v>343797</v>
      </c>
      <c r="D83" s="2">
        <v>1065257</v>
      </c>
      <c r="E83" s="2">
        <v>98279</v>
      </c>
      <c r="F83" s="2">
        <v>201755</v>
      </c>
    </row>
    <row r="84" spans="1:6" x14ac:dyDescent="0.35">
      <c r="A84" s="12">
        <v>2016</v>
      </c>
      <c r="B84" s="2">
        <v>1546075</v>
      </c>
      <c r="C84" s="2">
        <v>299571</v>
      </c>
      <c r="D84" s="2">
        <v>1115065</v>
      </c>
      <c r="E84" s="2">
        <v>95026</v>
      </c>
      <c r="F84" s="2">
        <v>212228</v>
      </c>
    </row>
    <row r="85" spans="1:6" x14ac:dyDescent="0.35">
      <c r="A85" s="12">
        <v>2017</v>
      </c>
      <c r="B85" s="2">
        <v>1587120</v>
      </c>
      <c r="C85" s="2">
        <v>297048</v>
      </c>
      <c r="D85" s="2">
        <v>1161897</v>
      </c>
      <c r="E85" s="2">
        <v>83823</v>
      </c>
      <c r="F85" s="2">
        <v>186296</v>
      </c>
    </row>
    <row r="86" spans="1:6" x14ac:dyDescent="0.35">
      <c r="A86" s="12">
        <v>2018</v>
      </c>
      <c r="B86" s="2">
        <v>1683538</v>
      </c>
      <c r="C86" s="2">
        <v>204733</v>
      </c>
      <c r="D86" s="2">
        <v>1170701</v>
      </c>
      <c r="E86" s="2">
        <v>94986</v>
      </c>
      <c r="F86" s="2">
        <v>175949</v>
      </c>
    </row>
    <row r="87" spans="1:6" x14ac:dyDescent="0.35">
      <c r="A87" s="12">
        <v>2019</v>
      </c>
      <c r="B87" s="2">
        <v>1717857</v>
      </c>
      <c r="C87" s="2">
        <v>230245</v>
      </c>
      <c r="D87" s="2">
        <v>1243113</v>
      </c>
      <c r="E87" s="2">
        <v>98914</v>
      </c>
      <c r="F87" s="2">
        <v>173235</v>
      </c>
    </row>
    <row r="88" spans="1:6" x14ac:dyDescent="0.35">
      <c r="A88" s="12">
        <v>2020</v>
      </c>
      <c r="B88" s="2">
        <v>1608663</v>
      </c>
      <c r="C88" s="2">
        <v>211845</v>
      </c>
      <c r="D88" s="2">
        <v>1309955</v>
      </c>
      <c r="E88" s="2">
        <v>86780</v>
      </c>
      <c r="F88" s="2">
        <v>203921</v>
      </c>
    </row>
    <row r="89" spans="1:6" x14ac:dyDescent="0.35">
      <c r="A89" s="12">
        <v>2021</v>
      </c>
      <c r="B89" s="2">
        <v>2044377</v>
      </c>
      <c r="C89" s="2">
        <v>371831</v>
      </c>
      <c r="D89" s="2">
        <v>1314088</v>
      </c>
      <c r="E89" s="2">
        <v>75274</v>
      </c>
      <c r="F89" s="2">
        <v>241541</v>
      </c>
    </row>
    <row r="90" spans="1:6" x14ac:dyDescent="0.35">
      <c r="A90" s="12">
        <v>2022</v>
      </c>
      <c r="B90" s="2">
        <v>2632146</v>
      </c>
      <c r="C90" s="2">
        <v>424865</v>
      </c>
      <c r="D90" s="2">
        <v>1483527</v>
      </c>
      <c r="E90" s="2">
        <v>87728</v>
      </c>
      <c r="F90" s="2">
        <v>269073</v>
      </c>
    </row>
    <row r="91" spans="1:6" x14ac:dyDescent="0.35">
      <c r="A91" s="12">
        <v>2023</v>
      </c>
      <c r="B91" s="2">
        <v>2176481</v>
      </c>
      <c r="C91" s="2">
        <v>419584</v>
      </c>
      <c r="D91" s="2">
        <v>1614456</v>
      </c>
      <c r="E91" s="2">
        <v>75802</v>
      </c>
      <c r="F91" s="2">
        <v>154625</v>
      </c>
    </row>
    <row r="92" spans="1:6" x14ac:dyDescent="0.35">
      <c r="A92" s="12">
        <v>2024</v>
      </c>
      <c r="B92" s="2">
        <v>2426067</v>
      </c>
      <c r="C92" s="2">
        <v>529867</v>
      </c>
      <c r="D92" s="2">
        <v>1708926</v>
      </c>
      <c r="E92" s="2">
        <v>101436</v>
      </c>
      <c r="F92" s="2">
        <v>153587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798A-64F9-45A5-B666-869DAC975F32}">
  <dimension ref="A1:F92"/>
  <sheetViews>
    <sheetView workbookViewId="0">
      <selection activeCell="H1" sqref="H1"/>
    </sheetView>
  </sheetViews>
  <sheetFormatPr defaultRowHeight="14.5" x14ac:dyDescent="0.35"/>
  <cols>
    <col min="4" max="4" width="9.54296875" customWidth="1"/>
  </cols>
  <sheetData>
    <row r="1" spans="1:6" ht="52" x14ac:dyDescent="0.35">
      <c r="A1" s="16" t="s">
        <v>98</v>
      </c>
      <c r="B1" s="7" t="s">
        <v>8</v>
      </c>
      <c r="C1" s="7" t="s">
        <v>95</v>
      </c>
      <c r="D1" s="15" t="s">
        <v>272</v>
      </c>
      <c r="E1" s="17" t="s">
        <v>99</v>
      </c>
      <c r="F1" s="7" t="s">
        <v>97</v>
      </c>
    </row>
    <row r="2" spans="1:6" x14ac:dyDescent="0.35">
      <c r="A2" s="18">
        <v>1934</v>
      </c>
      <c r="B2" s="14">
        <v>14.2</v>
      </c>
      <c r="C2" s="14">
        <v>12.3</v>
      </c>
      <c r="D2" s="14">
        <v>1</v>
      </c>
      <c r="E2" s="14">
        <v>45.8</v>
      </c>
      <c r="F2" s="14">
        <v>26.7</v>
      </c>
    </row>
    <row r="3" spans="1:6" x14ac:dyDescent="0.35">
      <c r="A3" s="18">
        <v>1935</v>
      </c>
      <c r="B3" s="14">
        <v>14.6</v>
      </c>
      <c r="C3" s="14">
        <v>14.7</v>
      </c>
      <c r="D3" s="14">
        <v>0.9</v>
      </c>
      <c r="E3" s="14">
        <v>39.9</v>
      </c>
      <c r="F3" s="14">
        <v>30</v>
      </c>
    </row>
    <row r="4" spans="1:6" x14ac:dyDescent="0.35">
      <c r="A4" s="18">
        <v>1936</v>
      </c>
      <c r="B4" s="14">
        <v>17.2</v>
      </c>
      <c r="C4" s="14">
        <v>18.3</v>
      </c>
      <c r="D4" s="14">
        <v>1.3</v>
      </c>
      <c r="E4" s="14">
        <v>41.6</v>
      </c>
      <c r="F4" s="14">
        <v>21.6</v>
      </c>
    </row>
    <row r="5" spans="1:6" x14ac:dyDescent="0.35">
      <c r="A5" s="18">
        <v>1937</v>
      </c>
      <c r="B5" s="14">
        <v>20.3</v>
      </c>
      <c r="C5" s="14">
        <v>19.3</v>
      </c>
      <c r="D5" s="14">
        <v>10.8</v>
      </c>
      <c r="E5" s="14">
        <v>34.799999999999997</v>
      </c>
      <c r="F5" s="14">
        <v>14.9</v>
      </c>
    </row>
    <row r="6" spans="1:6" x14ac:dyDescent="0.35">
      <c r="A6" s="18">
        <v>1938</v>
      </c>
      <c r="B6" s="14">
        <v>19.100000000000001</v>
      </c>
      <c r="C6" s="14">
        <v>19.100000000000001</v>
      </c>
      <c r="D6" s="14">
        <v>22.8</v>
      </c>
      <c r="E6" s="14">
        <v>27.6</v>
      </c>
      <c r="F6" s="14">
        <v>11.5</v>
      </c>
    </row>
    <row r="7" spans="1:6" x14ac:dyDescent="0.35">
      <c r="A7" s="18">
        <v>1939</v>
      </c>
      <c r="B7" s="14">
        <v>16.3</v>
      </c>
      <c r="C7" s="14">
        <v>17.899999999999999</v>
      </c>
      <c r="D7" s="14">
        <v>25.3</v>
      </c>
      <c r="E7" s="14">
        <v>29.7</v>
      </c>
      <c r="F7" s="14">
        <v>10.7</v>
      </c>
    </row>
    <row r="8" spans="1:6" x14ac:dyDescent="0.35">
      <c r="A8" s="18">
        <v>1940</v>
      </c>
      <c r="B8" s="14">
        <v>13.6</v>
      </c>
      <c r="C8" s="14">
        <v>18.3</v>
      </c>
      <c r="D8" s="14">
        <v>27.3</v>
      </c>
      <c r="E8" s="14">
        <v>30.2</v>
      </c>
      <c r="F8" s="14">
        <v>10.7</v>
      </c>
    </row>
    <row r="9" spans="1:6" x14ac:dyDescent="0.35">
      <c r="A9" s="18">
        <v>1941</v>
      </c>
      <c r="B9" s="14">
        <v>15.1</v>
      </c>
      <c r="C9" s="14">
        <v>24.4</v>
      </c>
      <c r="D9" s="14">
        <v>22.3</v>
      </c>
      <c r="E9" s="14">
        <v>29.3</v>
      </c>
      <c r="F9" s="14">
        <v>9</v>
      </c>
    </row>
    <row r="10" spans="1:6" x14ac:dyDescent="0.35">
      <c r="A10" s="18">
        <v>1942</v>
      </c>
      <c r="B10" s="14">
        <v>22.3</v>
      </c>
      <c r="C10" s="14">
        <v>32.200000000000003</v>
      </c>
      <c r="D10" s="14">
        <v>16.8</v>
      </c>
      <c r="E10" s="14">
        <v>23.2</v>
      </c>
      <c r="F10" s="14">
        <v>5.5</v>
      </c>
    </row>
    <row r="11" spans="1:6" x14ac:dyDescent="0.35">
      <c r="A11" s="18">
        <v>1943</v>
      </c>
      <c r="B11" s="14">
        <v>27.1</v>
      </c>
      <c r="C11" s="14">
        <v>39.799999999999997</v>
      </c>
      <c r="D11" s="14">
        <v>12.7</v>
      </c>
      <c r="E11" s="14">
        <v>17.100000000000001</v>
      </c>
      <c r="F11" s="14">
        <v>3.3</v>
      </c>
    </row>
    <row r="12" spans="1:6" x14ac:dyDescent="0.35">
      <c r="A12" s="18">
        <v>1944</v>
      </c>
      <c r="B12" s="14">
        <v>45</v>
      </c>
      <c r="C12" s="14">
        <v>33.9</v>
      </c>
      <c r="D12" s="14">
        <v>7.9</v>
      </c>
      <c r="E12" s="14">
        <v>10.9</v>
      </c>
      <c r="F12" s="14">
        <v>2.2000000000000002</v>
      </c>
    </row>
    <row r="13" spans="1:6" x14ac:dyDescent="0.35">
      <c r="A13" s="18">
        <v>1945</v>
      </c>
      <c r="B13" s="14">
        <v>40.700000000000003</v>
      </c>
      <c r="C13" s="14">
        <v>35.4</v>
      </c>
      <c r="D13" s="14">
        <v>7.6</v>
      </c>
      <c r="E13" s="14">
        <v>13.9</v>
      </c>
      <c r="F13" s="14">
        <v>2.4</v>
      </c>
    </row>
    <row r="14" spans="1:6" x14ac:dyDescent="0.35">
      <c r="A14" s="18">
        <v>1946</v>
      </c>
      <c r="B14" s="14">
        <v>41</v>
      </c>
      <c r="C14" s="14">
        <v>30.2</v>
      </c>
      <c r="D14" s="14">
        <v>7.9</v>
      </c>
      <c r="E14" s="14">
        <v>17.8</v>
      </c>
      <c r="F14" s="14">
        <v>3.1</v>
      </c>
    </row>
    <row r="15" spans="1:6" x14ac:dyDescent="0.35">
      <c r="A15" s="18">
        <v>1947</v>
      </c>
      <c r="B15" s="14">
        <v>46.6</v>
      </c>
      <c r="C15" s="14">
        <v>22.4</v>
      </c>
      <c r="D15" s="14">
        <v>8.9</v>
      </c>
      <c r="E15" s="14">
        <v>18.7</v>
      </c>
      <c r="F15" s="14">
        <v>3.5</v>
      </c>
    </row>
    <row r="16" spans="1:6" x14ac:dyDescent="0.35">
      <c r="A16" s="18">
        <v>1948</v>
      </c>
      <c r="B16" s="14">
        <v>46.5</v>
      </c>
      <c r="C16" s="14">
        <v>23.3</v>
      </c>
      <c r="D16" s="14">
        <v>9</v>
      </c>
      <c r="E16" s="14">
        <v>17.7</v>
      </c>
      <c r="F16" s="14">
        <v>3.5</v>
      </c>
    </row>
    <row r="17" spans="1:6" x14ac:dyDescent="0.35">
      <c r="A17" s="18">
        <v>1949</v>
      </c>
      <c r="B17" s="14">
        <v>39.5</v>
      </c>
      <c r="C17" s="14">
        <v>28.4</v>
      </c>
      <c r="D17" s="14">
        <v>9.6</v>
      </c>
      <c r="E17" s="14">
        <v>19</v>
      </c>
      <c r="F17" s="14">
        <v>3.5</v>
      </c>
    </row>
    <row r="18" spans="1:6" x14ac:dyDescent="0.35">
      <c r="A18" s="18">
        <v>1950</v>
      </c>
      <c r="B18" s="14">
        <v>39.9</v>
      </c>
      <c r="C18" s="14">
        <v>26.5</v>
      </c>
      <c r="D18" s="14">
        <v>11</v>
      </c>
      <c r="E18" s="14">
        <v>19.100000000000001</v>
      </c>
      <c r="F18" s="14">
        <v>3.4</v>
      </c>
    </row>
    <row r="19" spans="1:6" x14ac:dyDescent="0.35">
      <c r="A19" s="18">
        <v>1951</v>
      </c>
      <c r="B19" s="14">
        <v>41.9</v>
      </c>
      <c r="C19" s="14">
        <v>27.3</v>
      </c>
      <c r="D19" s="14">
        <v>11</v>
      </c>
      <c r="E19" s="14">
        <v>16.8</v>
      </c>
      <c r="F19" s="14">
        <v>3.1</v>
      </c>
    </row>
    <row r="20" spans="1:6" x14ac:dyDescent="0.35">
      <c r="A20" s="18">
        <v>1952</v>
      </c>
      <c r="B20" s="14">
        <v>42.2</v>
      </c>
      <c r="C20" s="14">
        <v>32.1</v>
      </c>
      <c r="D20" s="14">
        <v>9.6999999999999993</v>
      </c>
      <c r="E20" s="14">
        <v>13.4</v>
      </c>
      <c r="F20" s="14">
        <v>2.6</v>
      </c>
    </row>
    <row r="21" spans="1:6" x14ac:dyDescent="0.35">
      <c r="A21" s="18">
        <v>1953</v>
      </c>
      <c r="B21" s="14">
        <v>42.8</v>
      </c>
      <c r="C21" s="14">
        <v>30.5</v>
      </c>
      <c r="D21" s="14">
        <v>9.8000000000000007</v>
      </c>
      <c r="E21" s="14">
        <v>14.2</v>
      </c>
      <c r="F21" s="14">
        <v>2.7</v>
      </c>
    </row>
    <row r="22" spans="1:6" x14ac:dyDescent="0.35">
      <c r="A22" s="18">
        <v>1954</v>
      </c>
      <c r="B22" s="14">
        <v>42.4</v>
      </c>
      <c r="C22" s="14">
        <v>30.3</v>
      </c>
      <c r="D22" s="14">
        <v>10.3</v>
      </c>
      <c r="E22" s="14">
        <v>14.3</v>
      </c>
      <c r="F22" s="14">
        <v>2.7</v>
      </c>
    </row>
    <row r="23" spans="1:6" x14ac:dyDescent="0.35">
      <c r="A23" s="18">
        <v>1955</v>
      </c>
      <c r="B23" s="14">
        <v>43.9</v>
      </c>
      <c r="C23" s="14">
        <v>27.3</v>
      </c>
      <c r="D23" s="14">
        <v>12</v>
      </c>
      <c r="E23" s="14">
        <v>14</v>
      </c>
      <c r="F23" s="14">
        <v>2.8</v>
      </c>
    </row>
    <row r="24" spans="1:6" x14ac:dyDescent="0.35">
      <c r="A24" s="18">
        <v>1956</v>
      </c>
      <c r="B24" s="14">
        <v>43.2</v>
      </c>
      <c r="C24" s="14">
        <v>28</v>
      </c>
      <c r="D24" s="14">
        <v>12.5</v>
      </c>
      <c r="E24" s="14">
        <v>13.3</v>
      </c>
      <c r="F24" s="14">
        <v>3</v>
      </c>
    </row>
    <row r="25" spans="1:6" x14ac:dyDescent="0.35">
      <c r="A25" s="18">
        <v>1957</v>
      </c>
      <c r="B25" s="14">
        <v>44.5</v>
      </c>
      <c r="C25" s="14">
        <v>26.5</v>
      </c>
      <c r="D25" s="14">
        <v>12.5</v>
      </c>
      <c r="E25" s="14">
        <v>13.2</v>
      </c>
      <c r="F25" s="14">
        <v>3.3</v>
      </c>
    </row>
    <row r="26" spans="1:6" x14ac:dyDescent="0.35">
      <c r="A26" s="18">
        <v>1958</v>
      </c>
      <c r="B26" s="14">
        <v>43.6</v>
      </c>
      <c r="C26" s="14">
        <v>25.2</v>
      </c>
      <c r="D26" s="14">
        <v>14.1</v>
      </c>
      <c r="E26" s="14">
        <v>13.4</v>
      </c>
      <c r="F26" s="14">
        <v>3.7</v>
      </c>
    </row>
    <row r="27" spans="1:6" x14ac:dyDescent="0.35">
      <c r="A27" s="18">
        <v>1959</v>
      </c>
      <c r="B27" s="14">
        <v>46.3</v>
      </c>
      <c r="C27" s="14">
        <v>21.8</v>
      </c>
      <c r="D27" s="14">
        <v>14.8</v>
      </c>
      <c r="E27" s="14">
        <v>13.3</v>
      </c>
      <c r="F27" s="14">
        <v>3.7</v>
      </c>
    </row>
    <row r="28" spans="1:6" x14ac:dyDescent="0.35">
      <c r="A28" s="18">
        <v>1960</v>
      </c>
      <c r="B28" s="14">
        <v>44</v>
      </c>
      <c r="C28" s="14">
        <v>23.2</v>
      </c>
      <c r="D28" s="14">
        <v>15.9</v>
      </c>
      <c r="E28" s="14">
        <v>12.6</v>
      </c>
      <c r="F28" s="14">
        <v>4.2</v>
      </c>
    </row>
    <row r="29" spans="1:6" x14ac:dyDescent="0.35">
      <c r="A29" s="18">
        <v>1961</v>
      </c>
      <c r="B29" s="14">
        <v>43.8</v>
      </c>
      <c r="C29" s="14">
        <v>22.2</v>
      </c>
      <c r="D29" s="14">
        <v>17.399999999999999</v>
      </c>
      <c r="E29" s="14">
        <v>12.6</v>
      </c>
      <c r="F29" s="14">
        <v>4</v>
      </c>
    </row>
    <row r="30" spans="1:6" x14ac:dyDescent="0.35">
      <c r="A30" s="18">
        <v>1962</v>
      </c>
      <c r="B30" s="14">
        <v>45.7</v>
      </c>
      <c r="C30" s="14">
        <v>20.6</v>
      </c>
      <c r="D30" s="14">
        <v>17.100000000000001</v>
      </c>
      <c r="E30" s="14">
        <v>12.6</v>
      </c>
      <c r="F30" s="14">
        <v>4</v>
      </c>
    </row>
    <row r="31" spans="1:6" x14ac:dyDescent="0.35">
      <c r="A31" s="18">
        <v>1963</v>
      </c>
      <c r="B31" s="14">
        <v>44.7</v>
      </c>
      <c r="C31" s="14">
        <v>20.3</v>
      </c>
      <c r="D31" s="14">
        <v>18.600000000000001</v>
      </c>
      <c r="E31" s="14">
        <v>12.4</v>
      </c>
      <c r="F31" s="14">
        <v>4.0999999999999996</v>
      </c>
    </row>
    <row r="32" spans="1:6" x14ac:dyDescent="0.35">
      <c r="A32" s="18">
        <v>1964</v>
      </c>
      <c r="B32" s="14">
        <v>43.2</v>
      </c>
      <c r="C32" s="14">
        <v>20.9</v>
      </c>
      <c r="D32" s="14">
        <v>19.5</v>
      </c>
      <c r="E32" s="14">
        <v>12.2</v>
      </c>
      <c r="F32" s="14">
        <v>4.2</v>
      </c>
    </row>
    <row r="33" spans="1:6" x14ac:dyDescent="0.35">
      <c r="A33" s="18">
        <v>1965</v>
      </c>
      <c r="B33" s="14">
        <v>41.8</v>
      </c>
      <c r="C33" s="14">
        <v>21.8</v>
      </c>
      <c r="D33" s="14">
        <v>19</v>
      </c>
      <c r="E33" s="14">
        <v>12.5</v>
      </c>
      <c r="F33" s="14">
        <v>4.9000000000000004</v>
      </c>
    </row>
    <row r="34" spans="1:6" x14ac:dyDescent="0.35">
      <c r="A34" s="18">
        <v>1966</v>
      </c>
      <c r="B34" s="14">
        <v>42.4</v>
      </c>
      <c r="C34" s="14">
        <v>23</v>
      </c>
      <c r="D34" s="14">
        <v>19.5</v>
      </c>
      <c r="E34" s="14">
        <v>10</v>
      </c>
      <c r="F34" s="14">
        <v>5.0999999999999996</v>
      </c>
    </row>
    <row r="35" spans="1:6" x14ac:dyDescent="0.35">
      <c r="A35" s="18">
        <v>1967</v>
      </c>
      <c r="B35" s="14">
        <v>41.3</v>
      </c>
      <c r="C35" s="14">
        <v>22.8</v>
      </c>
      <c r="D35" s="14">
        <v>21.9</v>
      </c>
      <c r="E35" s="14">
        <v>9.1999999999999993</v>
      </c>
      <c r="F35" s="14">
        <v>4.7</v>
      </c>
    </row>
    <row r="36" spans="1:6" x14ac:dyDescent="0.35">
      <c r="A36" s="18">
        <v>1968</v>
      </c>
      <c r="B36" s="14">
        <v>44.9</v>
      </c>
      <c r="C36" s="14">
        <v>18.7</v>
      </c>
      <c r="D36" s="14">
        <v>22.2</v>
      </c>
      <c r="E36" s="14">
        <v>9.1999999999999993</v>
      </c>
      <c r="F36" s="14">
        <v>5</v>
      </c>
    </row>
    <row r="37" spans="1:6" x14ac:dyDescent="0.35">
      <c r="A37" s="18">
        <v>1969</v>
      </c>
      <c r="B37" s="14">
        <v>46.7</v>
      </c>
      <c r="C37" s="14">
        <v>19.600000000000001</v>
      </c>
      <c r="D37" s="14">
        <v>20.9</v>
      </c>
      <c r="E37" s="14">
        <v>8.1</v>
      </c>
      <c r="F37" s="14">
        <v>4.7</v>
      </c>
    </row>
    <row r="38" spans="1:6" x14ac:dyDescent="0.35">
      <c r="A38" s="18">
        <v>1970</v>
      </c>
      <c r="B38" s="14">
        <v>46.9</v>
      </c>
      <c r="C38" s="14">
        <v>17</v>
      </c>
      <c r="D38" s="14">
        <v>23</v>
      </c>
      <c r="E38" s="14">
        <v>8.1</v>
      </c>
      <c r="F38" s="14">
        <v>4.9000000000000004</v>
      </c>
    </row>
    <row r="39" spans="1:6" x14ac:dyDescent="0.35">
      <c r="A39" s="18">
        <v>1971</v>
      </c>
      <c r="B39" s="14">
        <v>46.1</v>
      </c>
      <c r="C39" s="14">
        <v>14.3</v>
      </c>
      <c r="D39" s="14">
        <v>25.3</v>
      </c>
      <c r="E39" s="14">
        <v>8.9</v>
      </c>
      <c r="F39" s="14">
        <v>5.4</v>
      </c>
    </row>
    <row r="40" spans="1:6" x14ac:dyDescent="0.35">
      <c r="A40" s="18">
        <v>1972</v>
      </c>
      <c r="B40" s="14">
        <v>45.7</v>
      </c>
      <c r="C40" s="14">
        <v>15.5</v>
      </c>
      <c r="D40" s="14">
        <v>25.4</v>
      </c>
      <c r="E40" s="14">
        <v>7.5</v>
      </c>
      <c r="F40" s="14">
        <v>6</v>
      </c>
    </row>
    <row r="41" spans="1:6" x14ac:dyDescent="0.35">
      <c r="A41" s="18">
        <v>1973</v>
      </c>
      <c r="B41" s="14">
        <v>44.7</v>
      </c>
      <c r="C41" s="14">
        <v>15.7</v>
      </c>
      <c r="D41" s="14">
        <v>27.3</v>
      </c>
      <c r="E41" s="14">
        <v>7</v>
      </c>
      <c r="F41" s="14">
        <v>5.2</v>
      </c>
    </row>
    <row r="42" spans="1:6" x14ac:dyDescent="0.35">
      <c r="A42" s="18">
        <v>1974</v>
      </c>
      <c r="B42" s="14">
        <v>45.2</v>
      </c>
      <c r="C42" s="14">
        <v>14.7</v>
      </c>
      <c r="D42" s="14">
        <v>28.5</v>
      </c>
      <c r="E42" s="14">
        <v>6.4</v>
      </c>
      <c r="F42" s="14">
        <v>5.2</v>
      </c>
    </row>
    <row r="43" spans="1:6" x14ac:dyDescent="0.35">
      <c r="A43" s="18">
        <v>1975</v>
      </c>
      <c r="B43" s="14">
        <v>43.9</v>
      </c>
      <c r="C43" s="14">
        <v>14.6</v>
      </c>
      <c r="D43" s="14">
        <v>30.3</v>
      </c>
      <c r="E43" s="14">
        <v>5.9</v>
      </c>
      <c r="F43" s="14">
        <v>5.4</v>
      </c>
    </row>
    <row r="44" spans="1:6" x14ac:dyDescent="0.35">
      <c r="A44" s="18">
        <v>1976</v>
      </c>
      <c r="B44" s="14">
        <v>44.2</v>
      </c>
      <c r="C44" s="14">
        <v>13.9</v>
      </c>
      <c r="D44" s="14">
        <v>30.5</v>
      </c>
      <c r="E44" s="14">
        <v>5.7</v>
      </c>
      <c r="F44" s="14">
        <v>5.8</v>
      </c>
    </row>
    <row r="45" spans="1:6" x14ac:dyDescent="0.35">
      <c r="A45" s="18">
        <v>1977</v>
      </c>
      <c r="B45" s="14">
        <v>44.3</v>
      </c>
      <c r="C45" s="14">
        <v>15.4</v>
      </c>
      <c r="D45" s="14">
        <v>29.9</v>
      </c>
      <c r="E45" s="14">
        <v>4.9000000000000004</v>
      </c>
      <c r="F45" s="14">
        <v>5.3</v>
      </c>
    </row>
    <row r="46" spans="1:6" x14ac:dyDescent="0.35">
      <c r="A46" s="18">
        <v>1978</v>
      </c>
      <c r="B46" s="14">
        <v>45.3</v>
      </c>
      <c r="C46" s="14">
        <v>15</v>
      </c>
      <c r="D46" s="14">
        <v>30.3</v>
      </c>
      <c r="E46" s="14">
        <v>4.5999999999999996</v>
      </c>
      <c r="F46" s="14">
        <v>4.8</v>
      </c>
    </row>
    <row r="47" spans="1:6" x14ac:dyDescent="0.35">
      <c r="A47" s="18">
        <v>1979</v>
      </c>
      <c r="B47" s="14">
        <v>47</v>
      </c>
      <c r="C47" s="14">
        <v>14.2</v>
      </c>
      <c r="D47" s="14">
        <v>30</v>
      </c>
      <c r="E47" s="14">
        <v>4</v>
      </c>
      <c r="F47" s="14">
        <v>4.8</v>
      </c>
    </row>
    <row r="48" spans="1:6" x14ac:dyDescent="0.35">
      <c r="A48" s="18">
        <v>1980</v>
      </c>
      <c r="B48" s="14">
        <v>47.2</v>
      </c>
      <c r="C48" s="14">
        <v>12.5</v>
      </c>
      <c r="D48" s="14">
        <v>30.5</v>
      </c>
      <c r="E48" s="14">
        <v>4.7</v>
      </c>
      <c r="F48" s="14">
        <v>5.0999999999999996</v>
      </c>
    </row>
    <row r="49" spans="1:6" x14ac:dyDescent="0.35">
      <c r="A49" s="18">
        <v>1981</v>
      </c>
      <c r="B49" s="14">
        <v>47.7</v>
      </c>
      <c r="C49" s="14">
        <v>10.199999999999999</v>
      </c>
      <c r="D49" s="14">
        <v>30.5</v>
      </c>
      <c r="E49" s="14">
        <v>6.8</v>
      </c>
      <c r="F49" s="14">
        <v>4.8</v>
      </c>
    </row>
    <row r="50" spans="1:6" x14ac:dyDescent="0.35">
      <c r="A50" s="18">
        <v>1982</v>
      </c>
      <c r="B50" s="14">
        <v>48.2</v>
      </c>
      <c r="C50" s="14">
        <v>8</v>
      </c>
      <c r="D50" s="14">
        <v>32.6</v>
      </c>
      <c r="E50" s="14">
        <v>5.9</v>
      </c>
      <c r="F50" s="14">
        <v>5.3</v>
      </c>
    </row>
    <row r="51" spans="1:6" x14ac:dyDescent="0.35">
      <c r="A51" s="18">
        <v>1983</v>
      </c>
      <c r="B51" s="14">
        <v>48.1</v>
      </c>
      <c r="C51" s="14">
        <v>6.2</v>
      </c>
      <c r="D51" s="14">
        <v>34.799999999999997</v>
      </c>
      <c r="E51" s="14">
        <v>5.9</v>
      </c>
      <c r="F51" s="14">
        <v>5</v>
      </c>
    </row>
    <row r="52" spans="1:6" x14ac:dyDescent="0.35">
      <c r="A52" s="18">
        <v>1984</v>
      </c>
      <c r="B52" s="14">
        <v>44.8</v>
      </c>
      <c r="C52" s="14">
        <v>8.5</v>
      </c>
      <c r="D52" s="14">
        <v>35.9</v>
      </c>
      <c r="E52" s="14">
        <v>5.6</v>
      </c>
      <c r="F52" s="14">
        <v>5.2</v>
      </c>
    </row>
    <row r="53" spans="1:6" x14ac:dyDescent="0.35">
      <c r="A53" s="18">
        <v>1985</v>
      </c>
      <c r="B53" s="14">
        <v>45.6</v>
      </c>
      <c r="C53" s="14">
        <v>8.4</v>
      </c>
      <c r="D53" s="14">
        <v>36.1</v>
      </c>
      <c r="E53" s="14">
        <v>4.9000000000000004</v>
      </c>
      <c r="F53" s="14">
        <v>5</v>
      </c>
    </row>
    <row r="54" spans="1:6" x14ac:dyDescent="0.35">
      <c r="A54" s="18">
        <v>1986</v>
      </c>
      <c r="B54" s="14">
        <v>45.4</v>
      </c>
      <c r="C54" s="14">
        <v>8.1999999999999993</v>
      </c>
      <c r="D54" s="14">
        <v>36.9</v>
      </c>
      <c r="E54" s="14">
        <v>4.3</v>
      </c>
      <c r="F54" s="14">
        <v>5.2</v>
      </c>
    </row>
    <row r="55" spans="1:6" x14ac:dyDescent="0.35">
      <c r="A55" s="18">
        <v>1987</v>
      </c>
      <c r="B55" s="14">
        <v>46</v>
      </c>
      <c r="C55" s="14">
        <v>9.8000000000000007</v>
      </c>
      <c r="D55" s="14">
        <v>35.5</v>
      </c>
      <c r="E55" s="14">
        <v>3.8</v>
      </c>
      <c r="F55" s="14">
        <v>4.9000000000000004</v>
      </c>
    </row>
    <row r="56" spans="1:6" x14ac:dyDescent="0.35">
      <c r="A56" s="18">
        <v>1988</v>
      </c>
      <c r="B56" s="14">
        <v>44.1</v>
      </c>
      <c r="C56" s="14">
        <v>10.4</v>
      </c>
      <c r="D56" s="14">
        <v>36.799999999999997</v>
      </c>
      <c r="E56" s="14">
        <v>3.9</v>
      </c>
      <c r="F56" s="14">
        <v>4.8</v>
      </c>
    </row>
    <row r="57" spans="1:6" x14ac:dyDescent="0.35">
      <c r="A57" s="18">
        <v>1989</v>
      </c>
      <c r="B57" s="14">
        <v>45</v>
      </c>
      <c r="C57" s="14">
        <v>10.4</v>
      </c>
      <c r="D57" s="14">
        <v>36.299999999999997</v>
      </c>
      <c r="E57" s="14">
        <v>3.5</v>
      </c>
      <c r="F57" s="14">
        <v>4.9000000000000004</v>
      </c>
    </row>
    <row r="58" spans="1:6" x14ac:dyDescent="0.35">
      <c r="A58" s="18">
        <v>1990</v>
      </c>
      <c r="B58" s="14">
        <v>45.2</v>
      </c>
      <c r="C58" s="14">
        <v>9.1</v>
      </c>
      <c r="D58" s="14">
        <v>36.799999999999997</v>
      </c>
      <c r="E58" s="14">
        <v>3.4</v>
      </c>
      <c r="F58" s="14">
        <v>5.4</v>
      </c>
    </row>
    <row r="59" spans="1:6" x14ac:dyDescent="0.35">
      <c r="A59" s="18">
        <v>1991</v>
      </c>
      <c r="B59" s="14">
        <v>44.3</v>
      </c>
      <c r="C59" s="14">
        <v>9.3000000000000007</v>
      </c>
      <c r="D59" s="14">
        <v>37.5</v>
      </c>
      <c r="E59" s="14">
        <v>4</v>
      </c>
      <c r="F59" s="14">
        <v>4.8</v>
      </c>
    </row>
    <row r="60" spans="1:6" x14ac:dyDescent="0.35">
      <c r="A60" s="18">
        <v>1992</v>
      </c>
      <c r="B60" s="14">
        <v>43.6</v>
      </c>
      <c r="C60" s="14">
        <v>9.1999999999999993</v>
      </c>
      <c r="D60" s="14">
        <v>37.9</v>
      </c>
      <c r="E60" s="14">
        <v>4.2</v>
      </c>
      <c r="F60" s="14">
        <v>5.0999999999999996</v>
      </c>
    </row>
    <row r="61" spans="1:6" x14ac:dyDescent="0.35">
      <c r="A61" s="18">
        <v>1993</v>
      </c>
      <c r="B61" s="14">
        <v>44.2</v>
      </c>
      <c r="C61" s="14">
        <v>10.199999999999999</v>
      </c>
      <c r="D61" s="14">
        <v>37.1</v>
      </c>
      <c r="E61" s="14">
        <v>4.2</v>
      </c>
      <c r="F61" s="14">
        <v>4.4000000000000004</v>
      </c>
    </row>
    <row r="62" spans="1:6" x14ac:dyDescent="0.35">
      <c r="A62" s="18">
        <v>1994</v>
      </c>
      <c r="B62" s="14">
        <v>43.1</v>
      </c>
      <c r="C62" s="14">
        <v>11.2</v>
      </c>
      <c r="D62" s="14">
        <v>36.700000000000003</v>
      </c>
      <c r="E62" s="14">
        <v>4.4000000000000004</v>
      </c>
      <c r="F62" s="14">
        <v>4.5999999999999996</v>
      </c>
    </row>
    <row r="63" spans="1:6" x14ac:dyDescent="0.35">
      <c r="A63" s="18">
        <v>1995</v>
      </c>
      <c r="B63" s="14">
        <v>43.7</v>
      </c>
      <c r="C63" s="14">
        <v>11.6</v>
      </c>
      <c r="D63" s="14">
        <v>35.799999999999997</v>
      </c>
      <c r="E63" s="14">
        <v>4.3</v>
      </c>
      <c r="F63" s="14">
        <v>4.5999999999999996</v>
      </c>
    </row>
    <row r="64" spans="1:6" x14ac:dyDescent="0.35">
      <c r="A64" s="18">
        <v>1996</v>
      </c>
      <c r="B64" s="14">
        <v>45.2</v>
      </c>
      <c r="C64" s="14">
        <v>11.8</v>
      </c>
      <c r="D64" s="14">
        <v>35.1</v>
      </c>
      <c r="E64" s="14">
        <v>3.7</v>
      </c>
      <c r="F64" s="14">
        <v>4.2</v>
      </c>
    </row>
    <row r="65" spans="1:6" x14ac:dyDescent="0.35">
      <c r="A65" s="18">
        <v>1997</v>
      </c>
      <c r="B65" s="14">
        <v>46.7</v>
      </c>
      <c r="C65" s="14">
        <v>11.5</v>
      </c>
      <c r="D65" s="14">
        <v>34.200000000000003</v>
      </c>
      <c r="E65" s="14">
        <v>3.6</v>
      </c>
      <c r="F65" s="14">
        <v>4</v>
      </c>
    </row>
    <row r="66" spans="1:6" x14ac:dyDescent="0.35">
      <c r="A66" s="18">
        <v>1998</v>
      </c>
      <c r="B66" s="14">
        <v>48.1</v>
      </c>
      <c r="C66" s="14">
        <v>11</v>
      </c>
      <c r="D66" s="14">
        <v>33.200000000000003</v>
      </c>
      <c r="E66" s="14">
        <v>3.3</v>
      </c>
      <c r="F66" s="14">
        <v>4.4000000000000004</v>
      </c>
    </row>
    <row r="67" spans="1:6" x14ac:dyDescent="0.35">
      <c r="A67" s="18">
        <v>1999</v>
      </c>
      <c r="B67" s="14">
        <v>48.1</v>
      </c>
      <c r="C67" s="14">
        <v>10.1</v>
      </c>
      <c r="D67" s="14">
        <v>33.5</v>
      </c>
      <c r="E67" s="14">
        <v>3.9</v>
      </c>
      <c r="F67" s="14">
        <v>4.4000000000000004</v>
      </c>
    </row>
    <row r="68" spans="1:6" x14ac:dyDescent="0.35">
      <c r="A68" s="18">
        <v>2000</v>
      </c>
      <c r="B68" s="14">
        <v>49.6</v>
      </c>
      <c r="C68" s="14">
        <v>10.199999999999999</v>
      </c>
      <c r="D68" s="14">
        <v>32.200000000000003</v>
      </c>
      <c r="E68" s="14">
        <v>3.4</v>
      </c>
      <c r="F68" s="14">
        <v>4.5</v>
      </c>
    </row>
    <row r="69" spans="1:6" x14ac:dyDescent="0.35">
      <c r="A69" s="18">
        <v>2001</v>
      </c>
      <c r="B69" s="14">
        <v>49.9</v>
      </c>
      <c r="C69" s="14">
        <v>7.6</v>
      </c>
      <c r="D69" s="14">
        <v>34.9</v>
      </c>
      <c r="E69" s="14">
        <v>3.3</v>
      </c>
      <c r="F69" s="14">
        <v>4.3</v>
      </c>
    </row>
    <row r="70" spans="1:6" x14ac:dyDescent="0.35">
      <c r="A70" s="18">
        <v>2002</v>
      </c>
      <c r="B70" s="14">
        <v>46.3</v>
      </c>
      <c r="C70" s="14">
        <v>8</v>
      </c>
      <c r="D70" s="14">
        <v>37.799999999999997</v>
      </c>
      <c r="E70" s="14">
        <v>3.6</v>
      </c>
      <c r="F70" s="14">
        <v>4.3</v>
      </c>
    </row>
    <row r="71" spans="1:6" x14ac:dyDescent="0.35">
      <c r="A71" s="18">
        <v>2003</v>
      </c>
      <c r="B71" s="14">
        <v>44.5</v>
      </c>
      <c r="C71" s="14">
        <v>7.4</v>
      </c>
      <c r="D71" s="14">
        <v>40</v>
      </c>
      <c r="E71" s="14">
        <v>3.8</v>
      </c>
      <c r="F71" s="14">
        <v>4.3</v>
      </c>
    </row>
    <row r="72" spans="1:6" x14ac:dyDescent="0.35">
      <c r="A72" s="18">
        <v>2004</v>
      </c>
      <c r="B72" s="14">
        <v>43</v>
      </c>
      <c r="C72" s="14">
        <v>10.1</v>
      </c>
      <c r="D72" s="14">
        <v>39</v>
      </c>
      <c r="E72" s="14">
        <v>3.7</v>
      </c>
      <c r="F72" s="14">
        <v>4.2</v>
      </c>
    </row>
    <row r="73" spans="1:6" x14ac:dyDescent="0.35">
      <c r="A73" s="18">
        <v>2005</v>
      </c>
      <c r="B73" s="14">
        <v>43.1</v>
      </c>
      <c r="C73" s="14">
        <v>12.9</v>
      </c>
      <c r="D73" s="14">
        <v>36.9</v>
      </c>
      <c r="E73" s="14">
        <v>3.4</v>
      </c>
      <c r="F73" s="14">
        <v>3.8</v>
      </c>
    </row>
    <row r="74" spans="1:6" x14ac:dyDescent="0.35">
      <c r="A74" s="18">
        <v>2006</v>
      </c>
      <c r="B74" s="14">
        <v>43.4</v>
      </c>
      <c r="C74" s="14">
        <v>14.7</v>
      </c>
      <c r="D74" s="14">
        <v>34.799999999999997</v>
      </c>
      <c r="E74" s="14">
        <v>3.1</v>
      </c>
      <c r="F74" s="14">
        <v>4</v>
      </c>
    </row>
    <row r="75" spans="1:6" x14ac:dyDescent="0.35">
      <c r="A75" s="18">
        <v>2007</v>
      </c>
      <c r="B75" s="14">
        <v>45.3</v>
      </c>
      <c r="C75" s="14">
        <v>14.4</v>
      </c>
      <c r="D75" s="14">
        <v>33.9</v>
      </c>
      <c r="E75" s="14">
        <v>2.5</v>
      </c>
      <c r="F75" s="14">
        <v>3.9</v>
      </c>
    </row>
    <row r="76" spans="1:6" x14ac:dyDescent="0.35">
      <c r="A76" s="18">
        <v>2008</v>
      </c>
      <c r="B76" s="14">
        <v>45.4</v>
      </c>
      <c r="C76" s="14">
        <v>12.1</v>
      </c>
      <c r="D76" s="14">
        <v>35.700000000000003</v>
      </c>
      <c r="E76" s="14">
        <v>2.7</v>
      </c>
      <c r="F76" s="14">
        <v>4.2</v>
      </c>
    </row>
    <row r="77" spans="1:6" x14ac:dyDescent="0.35">
      <c r="A77" s="18">
        <v>2009</v>
      </c>
      <c r="B77" s="14">
        <v>43.5</v>
      </c>
      <c r="C77" s="14">
        <v>6.6</v>
      </c>
      <c r="D77" s="14">
        <v>42.3</v>
      </c>
      <c r="E77" s="14">
        <v>3</v>
      </c>
      <c r="F77" s="14">
        <v>4.7</v>
      </c>
    </row>
    <row r="78" spans="1:6" x14ac:dyDescent="0.35">
      <c r="A78" s="18">
        <v>2010</v>
      </c>
      <c r="B78" s="14">
        <v>41.5</v>
      </c>
      <c r="C78" s="14">
        <v>8.9</v>
      </c>
      <c r="D78" s="14">
        <v>40</v>
      </c>
      <c r="E78" s="14">
        <v>3.1</v>
      </c>
      <c r="F78" s="14">
        <v>6.5</v>
      </c>
    </row>
    <row r="79" spans="1:6" x14ac:dyDescent="0.35">
      <c r="A79" s="18">
        <v>2011</v>
      </c>
      <c r="B79" s="14">
        <v>47.4</v>
      </c>
      <c r="C79" s="14">
        <v>7.9</v>
      </c>
      <c r="D79" s="14">
        <v>35.5</v>
      </c>
      <c r="E79" s="14">
        <v>3.1</v>
      </c>
      <c r="F79" s="14">
        <v>6.1</v>
      </c>
    </row>
    <row r="80" spans="1:6" x14ac:dyDescent="0.35">
      <c r="A80" s="18">
        <v>2012</v>
      </c>
      <c r="B80" s="14">
        <v>46.2</v>
      </c>
      <c r="C80" s="14">
        <v>9.9</v>
      </c>
      <c r="D80" s="14">
        <v>34.5</v>
      </c>
      <c r="E80" s="14">
        <v>3.2</v>
      </c>
      <c r="F80" s="14">
        <v>6.2</v>
      </c>
    </row>
    <row r="81" spans="1:6" x14ac:dyDescent="0.35">
      <c r="A81" s="18">
        <v>2013</v>
      </c>
      <c r="B81" s="14">
        <v>47.4</v>
      </c>
      <c r="C81" s="14">
        <v>9.9</v>
      </c>
      <c r="D81" s="14">
        <v>34.200000000000003</v>
      </c>
      <c r="E81" s="14">
        <v>3</v>
      </c>
      <c r="F81" s="14">
        <v>5.5</v>
      </c>
    </row>
    <row r="82" spans="1:6" x14ac:dyDescent="0.35">
      <c r="A82" s="18">
        <v>2014</v>
      </c>
      <c r="B82" s="14">
        <v>46.2</v>
      </c>
      <c r="C82" s="14">
        <v>10.6</v>
      </c>
      <c r="D82" s="14">
        <v>33.9</v>
      </c>
      <c r="E82" s="14">
        <v>3.1</v>
      </c>
      <c r="F82" s="14">
        <v>6.3</v>
      </c>
    </row>
    <row r="83" spans="1:6" x14ac:dyDescent="0.35">
      <c r="A83" s="18">
        <v>2015</v>
      </c>
      <c r="B83" s="14">
        <v>47.4</v>
      </c>
      <c r="C83" s="14">
        <v>10.6</v>
      </c>
      <c r="D83" s="14">
        <v>32.799999999999997</v>
      </c>
      <c r="E83" s="14">
        <v>3</v>
      </c>
      <c r="F83" s="14">
        <v>6.2</v>
      </c>
    </row>
    <row r="84" spans="1:6" x14ac:dyDescent="0.35">
      <c r="A84" s="18">
        <v>2016</v>
      </c>
      <c r="B84" s="14">
        <v>47.3</v>
      </c>
      <c r="C84" s="14">
        <v>9.1999999999999993</v>
      </c>
      <c r="D84" s="14">
        <v>34.1</v>
      </c>
      <c r="E84" s="14">
        <v>2.9</v>
      </c>
      <c r="F84" s="14">
        <v>6.5</v>
      </c>
    </row>
    <row r="85" spans="1:6" x14ac:dyDescent="0.35">
      <c r="A85" s="18">
        <v>2017</v>
      </c>
      <c r="B85" s="14">
        <v>47.9</v>
      </c>
      <c r="C85" s="14">
        <v>9</v>
      </c>
      <c r="D85" s="14">
        <v>35</v>
      </c>
      <c r="E85" s="14">
        <v>2.5</v>
      </c>
      <c r="F85" s="14">
        <v>5.6</v>
      </c>
    </row>
    <row r="86" spans="1:6" x14ac:dyDescent="0.35">
      <c r="A86" s="18">
        <v>2018</v>
      </c>
      <c r="B86" s="14">
        <v>50.6</v>
      </c>
      <c r="C86" s="14">
        <v>6.1</v>
      </c>
      <c r="D86" s="14">
        <v>35.200000000000003</v>
      </c>
      <c r="E86" s="14">
        <v>2.9</v>
      </c>
      <c r="F86" s="14">
        <v>5.3</v>
      </c>
    </row>
    <row r="87" spans="1:6" x14ac:dyDescent="0.35">
      <c r="A87" s="18">
        <v>2019</v>
      </c>
      <c r="B87" s="14">
        <v>49.6</v>
      </c>
      <c r="C87" s="14">
        <v>6.6</v>
      </c>
      <c r="D87" s="14">
        <v>35.9</v>
      </c>
      <c r="E87" s="14">
        <v>2.9</v>
      </c>
      <c r="F87" s="14">
        <v>5</v>
      </c>
    </row>
    <row r="88" spans="1:6" x14ac:dyDescent="0.35">
      <c r="A88" s="18">
        <v>2020</v>
      </c>
      <c r="B88" s="14">
        <v>47</v>
      </c>
      <c r="C88" s="14">
        <v>6.2</v>
      </c>
      <c r="D88" s="14">
        <v>38.299999999999997</v>
      </c>
      <c r="E88" s="14">
        <v>2.5</v>
      </c>
      <c r="F88" s="14">
        <v>6</v>
      </c>
    </row>
    <row r="89" spans="1:6" x14ac:dyDescent="0.35">
      <c r="A89" s="18">
        <v>2021</v>
      </c>
      <c r="B89" s="14">
        <v>50.5</v>
      </c>
      <c r="C89" s="14">
        <v>9.1999999999999993</v>
      </c>
      <c r="D89" s="14">
        <v>32.5</v>
      </c>
      <c r="E89" s="14">
        <v>1.9</v>
      </c>
      <c r="F89" s="14">
        <v>6</v>
      </c>
    </row>
    <row r="90" spans="1:6" x14ac:dyDescent="0.35">
      <c r="A90" s="18">
        <v>2022</v>
      </c>
      <c r="B90" s="14">
        <v>53.7</v>
      </c>
      <c r="C90" s="14">
        <v>8.6999999999999993</v>
      </c>
      <c r="D90" s="14">
        <v>30.3</v>
      </c>
      <c r="E90" s="14">
        <v>1.8</v>
      </c>
      <c r="F90" s="14">
        <v>5.5</v>
      </c>
    </row>
    <row r="91" spans="1:6" x14ac:dyDescent="0.35">
      <c r="A91" s="18">
        <v>2023</v>
      </c>
      <c r="B91" s="14">
        <v>49</v>
      </c>
      <c r="C91" s="14">
        <v>9.4</v>
      </c>
      <c r="D91" s="14">
        <v>36.4</v>
      </c>
      <c r="E91" s="14">
        <v>1.7</v>
      </c>
      <c r="F91" s="14">
        <v>3.5</v>
      </c>
    </row>
    <row r="92" spans="1:6" x14ac:dyDescent="0.35">
      <c r="A92" s="18">
        <v>2024</v>
      </c>
      <c r="B92" s="14">
        <v>49.3</v>
      </c>
      <c r="C92" s="14">
        <v>10.8</v>
      </c>
      <c r="D92" s="14">
        <v>34.700000000000003</v>
      </c>
      <c r="E92" s="14">
        <v>2.1</v>
      </c>
      <c r="F92" s="14">
        <v>3.1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56805-B96B-4BD5-9310-BF49303E0C4A}">
  <dimension ref="A1:CQ8"/>
  <sheetViews>
    <sheetView workbookViewId="0">
      <selection activeCell="E13" sqref="E13"/>
    </sheetView>
  </sheetViews>
  <sheetFormatPr defaultRowHeight="14.5" x14ac:dyDescent="0.35"/>
  <cols>
    <col min="1" max="1" width="55.6328125" customWidth="1"/>
  </cols>
  <sheetData>
    <row r="1" spans="1:95" x14ac:dyDescent="0.35">
      <c r="A1" s="19"/>
      <c r="B1" s="20" t="s">
        <v>10</v>
      </c>
      <c r="C1" s="20" t="s">
        <v>11</v>
      </c>
      <c r="D1" s="20" t="s">
        <v>12</v>
      </c>
      <c r="E1" s="20" t="s">
        <v>13</v>
      </c>
      <c r="F1" s="20" t="s">
        <v>14</v>
      </c>
      <c r="G1" s="20" t="s">
        <v>15</v>
      </c>
      <c r="H1" s="21" t="s">
        <v>16</v>
      </c>
      <c r="I1" s="21" t="s">
        <v>17</v>
      </c>
      <c r="J1" s="21" t="s">
        <v>18</v>
      </c>
      <c r="K1" s="21" t="s">
        <v>19</v>
      </c>
      <c r="L1" s="21" t="s">
        <v>20</v>
      </c>
      <c r="M1" s="21" t="s">
        <v>21</v>
      </c>
      <c r="N1" s="21" t="s">
        <v>22</v>
      </c>
      <c r="O1" s="21" t="s">
        <v>23</v>
      </c>
      <c r="P1" s="21" t="s">
        <v>24</v>
      </c>
      <c r="Q1" s="21" t="s">
        <v>25</v>
      </c>
      <c r="R1" s="21" t="s">
        <v>26</v>
      </c>
      <c r="S1" s="21" t="s">
        <v>27</v>
      </c>
      <c r="T1" s="21" t="s">
        <v>28</v>
      </c>
      <c r="U1" s="21" t="s">
        <v>29</v>
      </c>
      <c r="V1" s="21" t="s">
        <v>30</v>
      </c>
      <c r="W1" s="21" t="s">
        <v>31</v>
      </c>
      <c r="X1" s="21" t="s">
        <v>32</v>
      </c>
      <c r="Y1" s="21" t="s">
        <v>33</v>
      </c>
      <c r="Z1" s="21" t="s">
        <v>34</v>
      </c>
      <c r="AA1" s="21" t="s">
        <v>35</v>
      </c>
      <c r="AB1" s="21" t="s">
        <v>36</v>
      </c>
      <c r="AC1" s="21" t="s">
        <v>37</v>
      </c>
      <c r="AD1" s="21" t="s">
        <v>38</v>
      </c>
      <c r="AE1" s="21" t="s">
        <v>39</v>
      </c>
      <c r="AF1" s="21" t="s">
        <v>40</v>
      </c>
      <c r="AG1" s="21" t="s">
        <v>41</v>
      </c>
      <c r="AH1" s="21" t="s">
        <v>42</v>
      </c>
      <c r="AI1" s="21" t="s">
        <v>43</v>
      </c>
      <c r="AJ1" s="21" t="s">
        <v>44</v>
      </c>
      <c r="AK1" s="21" t="s">
        <v>45</v>
      </c>
      <c r="AL1" s="21" t="s">
        <v>46</v>
      </c>
      <c r="AM1" s="21" t="s">
        <v>47</v>
      </c>
      <c r="AN1" s="21" t="s">
        <v>48</v>
      </c>
      <c r="AO1" s="21" t="s">
        <v>49</v>
      </c>
      <c r="AP1" s="21" t="s">
        <v>50</v>
      </c>
      <c r="AQ1" s="21" t="s">
        <v>51</v>
      </c>
      <c r="AR1" s="21" t="s">
        <v>52</v>
      </c>
      <c r="AS1" s="21" t="s">
        <v>53</v>
      </c>
      <c r="AT1" s="21" t="s">
        <v>54</v>
      </c>
      <c r="AU1" s="21" t="s">
        <v>55</v>
      </c>
      <c r="AV1" s="21" t="s">
        <v>56</v>
      </c>
      <c r="AW1" s="21" t="s">
        <v>57</v>
      </c>
      <c r="AX1" s="21" t="s">
        <v>58</v>
      </c>
      <c r="AY1" s="21" t="s">
        <v>59</v>
      </c>
      <c r="AZ1" s="21" t="s">
        <v>60</v>
      </c>
      <c r="BA1" s="21" t="s">
        <v>61</v>
      </c>
      <c r="BB1" s="21" t="s">
        <v>62</v>
      </c>
      <c r="BC1" s="21" t="s">
        <v>63</v>
      </c>
      <c r="BD1" s="21" t="s">
        <v>64</v>
      </c>
      <c r="BE1" s="21" t="s">
        <v>65</v>
      </c>
      <c r="BF1" s="21" t="s">
        <v>66</v>
      </c>
      <c r="BG1" s="21" t="s">
        <v>67</v>
      </c>
      <c r="BH1" s="21" t="s">
        <v>68</v>
      </c>
      <c r="BI1" s="21" t="s">
        <v>69</v>
      </c>
      <c r="BJ1" s="21" t="s">
        <v>70</v>
      </c>
      <c r="BK1" s="21" t="s">
        <v>71</v>
      </c>
      <c r="BL1" s="21" t="s">
        <v>72</v>
      </c>
      <c r="BM1" s="21" t="s">
        <v>73</v>
      </c>
      <c r="BN1" s="21" t="s">
        <v>74</v>
      </c>
      <c r="BO1" s="21" t="s">
        <v>75</v>
      </c>
      <c r="BP1" s="21" t="s">
        <v>76</v>
      </c>
      <c r="BQ1" s="21" t="s">
        <v>77</v>
      </c>
      <c r="BR1" s="21" t="s">
        <v>78</v>
      </c>
      <c r="BS1" s="21" t="s">
        <v>79</v>
      </c>
      <c r="BT1" s="21" t="s">
        <v>80</v>
      </c>
      <c r="BU1" s="21" t="s">
        <v>81</v>
      </c>
      <c r="BV1" s="21" t="s">
        <v>82</v>
      </c>
      <c r="BW1" s="21" t="s">
        <v>83</v>
      </c>
      <c r="BX1" s="21" t="s">
        <v>84</v>
      </c>
      <c r="BY1" s="21" t="s">
        <v>85</v>
      </c>
      <c r="BZ1" s="21" t="s">
        <v>86</v>
      </c>
      <c r="CA1" s="21" t="s">
        <v>87</v>
      </c>
      <c r="CB1" s="21" t="s">
        <v>88</v>
      </c>
      <c r="CC1" s="21" t="s">
        <v>89</v>
      </c>
      <c r="CD1" s="21" t="s">
        <v>90</v>
      </c>
      <c r="CE1" s="21" t="s">
        <v>91</v>
      </c>
      <c r="CF1" s="21" t="s">
        <v>92</v>
      </c>
      <c r="CG1" s="21" t="s">
        <v>93</v>
      </c>
      <c r="CH1" s="21" t="s">
        <v>94</v>
      </c>
    </row>
    <row r="2" spans="1:95" x14ac:dyDescent="0.35">
      <c r="A2" s="25" t="s">
        <v>126</v>
      </c>
      <c r="B2" s="24">
        <v>604</v>
      </c>
      <c r="C2" s="24">
        <v>690</v>
      </c>
      <c r="D2" s="24">
        <v>895</v>
      </c>
      <c r="E2" s="24">
        <v>1129</v>
      </c>
      <c r="F2" s="24">
        <v>1290</v>
      </c>
      <c r="G2" s="24">
        <v>1307</v>
      </c>
      <c r="H2" s="24">
        <v>1235</v>
      </c>
      <c r="I2" s="24">
        <v>1454</v>
      </c>
      <c r="J2" s="24">
        <v>1611</v>
      </c>
      <c r="K2" s="24">
        <v>1682</v>
      </c>
      <c r="L2" s="24">
        <v>2098</v>
      </c>
      <c r="M2" s="24">
        <v>3110</v>
      </c>
      <c r="N2" s="24">
        <v>3580</v>
      </c>
      <c r="O2" s="24">
        <v>4097</v>
      </c>
      <c r="P2" s="24">
        <v>4589</v>
      </c>
      <c r="Q2" s="24">
        <v>5381</v>
      </c>
      <c r="R2" s="24">
        <v>6425</v>
      </c>
      <c r="S2" s="24">
        <v>6457</v>
      </c>
      <c r="T2" s="24">
        <v>7138</v>
      </c>
      <c r="U2" s="24">
        <v>7418</v>
      </c>
      <c r="V2" s="24">
        <v>9671</v>
      </c>
      <c r="W2" s="24">
        <v>11104</v>
      </c>
      <c r="X2" s="24">
        <v>11267</v>
      </c>
      <c r="Y2" s="24">
        <v>13117</v>
      </c>
      <c r="Z2" s="24">
        <v>15242</v>
      </c>
      <c r="AA2" s="24">
        <v>15567</v>
      </c>
      <c r="AB2" s="24">
        <v>17556</v>
      </c>
      <c r="AC2" s="24">
        <v>22197</v>
      </c>
      <c r="AD2" s="24">
        <v>22265</v>
      </c>
      <c r="AE2" s="24">
        <v>25484</v>
      </c>
      <c r="AF2" s="24">
        <v>29396</v>
      </c>
      <c r="AG2" s="24">
        <v>31354</v>
      </c>
      <c r="AH2" s="24">
        <v>35132</v>
      </c>
      <c r="AI2" s="24">
        <v>40703</v>
      </c>
      <c r="AJ2" s="24">
        <v>47778</v>
      </c>
      <c r="AK2" s="24">
        <v>55207</v>
      </c>
      <c r="AL2" s="24">
        <v>58703</v>
      </c>
      <c r="AM2" s="24">
        <v>68032</v>
      </c>
      <c r="AN2" s="24">
        <v>73141</v>
      </c>
      <c r="AO2" s="24">
        <v>83410</v>
      </c>
      <c r="AP2" s="24">
        <v>96581</v>
      </c>
      <c r="AQ2" s="24">
        <v>117757</v>
      </c>
      <c r="AR2" s="24">
        <v>122840</v>
      </c>
      <c r="AS2" s="24">
        <v>128972</v>
      </c>
      <c r="AT2" s="24">
        <v>150312</v>
      </c>
      <c r="AU2" s="24">
        <v>169822</v>
      </c>
      <c r="AV2" s="24">
        <v>182518</v>
      </c>
      <c r="AW2" s="24">
        <v>194541</v>
      </c>
      <c r="AX2" s="24">
        <v>220337</v>
      </c>
      <c r="AY2" s="24">
        <v>240595</v>
      </c>
      <c r="AZ2" s="24">
        <v>255031</v>
      </c>
      <c r="BA2" s="24">
        <v>265502</v>
      </c>
      <c r="BB2" s="24">
        <v>273136</v>
      </c>
      <c r="BC2" s="24">
        <v>281735</v>
      </c>
      <c r="BD2" s="24">
        <v>302607</v>
      </c>
      <c r="BE2" s="24">
        <v>284091</v>
      </c>
      <c r="BF2" s="24">
        <v>311869</v>
      </c>
      <c r="BG2" s="24">
        <v>336729</v>
      </c>
      <c r="BH2" s="24">
        <v>358784</v>
      </c>
      <c r="BI2" s="24">
        <v>383559</v>
      </c>
      <c r="BJ2" s="24">
        <v>411677</v>
      </c>
      <c r="BK2" s="24">
        <v>434057</v>
      </c>
      <c r="BL2" s="24">
        <v>440541</v>
      </c>
      <c r="BM2" s="24">
        <v>447806</v>
      </c>
      <c r="BN2" s="24">
        <v>457120</v>
      </c>
      <c r="BO2" s="24">
        <v>493646</v>
      </c>
      <c r="BP2" s="24">
        <v>520069</v>
      </c>
      <c r="BQ2" s="24">
        <v>542901</v>
      </c>
      <c r="BR2" s="24">
        <v>562519</v>
      </c>
      <c r="BS2" s="24">
        <v>559067</v>
      </c>
      <c r="BT2" s="24">
        <v>539996</v>
      </c>
      <c r="BU2" s="24">
        <v>483683</v>
      </c>
      <c r="BV2" s="24">
        <v>486783</v>
      </c>
      <c r="BW2" s="24">
        <v>575555</v>
      </c>
      <c r="BX2" s="24">
        <v>628792</v>
      </c>
      <c r="BY2" s="24">
        <v>658543</v>
      </c>
      <c r="BZ2" s="24">
        <v>665672</v>
      </c>
      <c r="CA2" s="24">
        <v>688048</v>
      </c>
      <c r="CB2" s="24">
        <v>691215</v>
      </c>
      <c r="CC2" s="24">
        <v>770282</v>
      </c>
      <c r="CD2" s="24">
        <v>825307</v>
      </c>
      <c r="CE2" s="24">
        <v>814034</v>
      </c>
      <c r="CF2" s="24">
        <v>911191</v>
      </c>
      <c r="CG2" s="24">
        <v>1020442</v>
      </c>
      <c r="CH2" s="24">
        <v>1076984</v>
      </c>
      <c r="CK2" s="42" t="s">
        <v>122</v>
      </c>
      <c r="CL2" s="42"/>
      <c r="CM2" s="42"/>
      <c r="CN2" s="42"/>
      <c r="CO2" s="42"/>
      <c r="CP2" s="42"/>
      <c r="CQ2" s="42"/>
    </row>
    <row r="3" spans="1:95" x14ac:dyDescent="0.35">
      <c r="A3" s="25" t="s">
        <v>127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>
        <v>332</v>
      </c>
      <c r="T3" s="23">
        <v>911</v>
      </c>
      <c r="U3" s="23">
        <v>878</v>
      </c>
      <c r="V3" s="23">
        <v>970</v>
      </c>
      <c r="W3" s="23">
        <v>1005</v>
      </c>
      <c r="X3" s="23">
        <v>1004</v>
      </c>
      <c r="Y3" s="23">
        <v>1058</v>
      </c>
      <c r="Z3" s="23">
        <v>1124</v>
      </c>
      <c r="AA3" s="23">
        <v>1156</v>
      </c>
      <c r="AB3" s="23">
        <v>1530</v>
      </c>
      <c r="AC3" s="23">
        <v>2204</v>
      </c>
      <c r="AD3" s="23">
        <v>2651</v>
      </c>
      <c r="AE3" s="23">
        <v>3469</v>
      </c>
      <c r="AF3" s="23">
        <v>4063</v>
      </c>
      <c r="AG3" s="23">
        <v>4490</v>
      </c>
      <c r="AH3" s="23">
        <v>4775</v>
      </c>
      <c r="AI3" s="23">
        <v>5381</v>
      </c>
      <c r="AJ3" s="23">
        <v>6147</v>
      </c>
      <c r="AK3" s="23">
        <v>7250</v>
      </c>
      <c r="AL3" s="23">
        <v>7686</v>
      </c>
      <c r="AM3" s="23">
        <v>8786</v>
      </c>
      <c r="AN3" s="23">
        <v>12250</v>
      </c>
      <c r="AO3" s="23">
        <v>14584</v>
      </c>
      <c r="AP3" s="23">
        <v>16628</v>
      </c>
      <c r="AQ3" s="23">
        <v>12418</v>
      </c>
      <c r="AR3" s="23">
        <v>20626</v>
      </c>
      <c r="AS3" s="23">
        <v>18348</v>
      </c>
      <c r="AT3" s="23">
        <v>15763</v>
      </c>
      <c r="AU3" s="23">
        <v>16348</v>
      </c>
      <c r="AV3" s="23">
        <v>17711</v>
      </c>
      <c r="AW3" s="23">
        <v>18860</v>
      </c>
      <c r="AX3" s="23">
        <v>21154</v>
      </c>
      <c r="AY3" s="23">
        <v>23071</v>
      </c>
      <c r="AZ3" s="23">
        <v>26625</v>
      </c>
      <c r="BA3" s="23">
        <v>28382</v>
      </c>
      <c r="BB3" s="23">
        <v>29289</v>
      </c>
      <c r="BC3" s="23">
        <v>30199</v>
      </c>
      <c r="BD3" s="23">
        <v>32419</v>
      </c>
      <c r="BE3" s="23">
        <v>66988</v>
      </c>
      <c r="BF3" s="23">
        <v>55623</v>
      </c>
      <c r="BG3" s="23">
        <v>55261</v>
      </c>
      <c r="BH3" s="23">
        <v>57015</v>
      </c>
      <c r="BI3" s="23">
        <v>60909</v>
      </c>
      <c r="BJ3" s="23">
        <v>68907</v>
      </c>
      <c r="BK3" s="23">
        <v>73462</v>
      </c>
      <c r="BL3" s="23">
        <v>74780</v>
      </c>
      <c r="BM3" s="23">
        <v>76036</v>
      </c>
      <c r="BN3" s="23">
        <v>77625</v>
      </c>
      <c r="BO3" s="23">
        <v>83830</v>
      </c>
      <c r="BP3" s="23">
        <v>88313</v>
      </c>
      <c r="BQ3" s="23">
        <v>92188</v>
      </c>
      <c r="BR3" s="23">
        <v>95527</v>
      </c>
      <c r="BS3" s="23">
        <v>94942</v>
      </c>
      <c r="BT3" s="23">
        <v>91691</v>
      </c>
      <c r="BU3" s="23">
        <v>82105</v>
      </c>
      <c r="BV3" s="23">
        <v>82718</v>
      </c>
      <c r="BW3" s="23">
        <v>97719</v>
      </c>
      <c r="BX3" s="23">
        <v>106773</v>
      </c>
      <c r="BY3" s="23">
        <v>111829</v>
      </c>
      <c r="BZ3" s="23">
        <v>144508</v>
      </c>
      <c r="CA3" s="23">
        <v>162570</v>
      </c>
      <c r="CB3" s="23">
        <v>163532</v>
      </c>
      <c r="CC3" s="23">
        <v>144021</v>
      </c>
      <c r="CD3" s="23">
        <v>140121</v>
      </c>
      <c r="CE3" s="23">
        <v>138289</v>
      </c>
      <c r="CF3" s="23">
        <v>154784</v>
      </c>
      <c r="CG3" s="23">
        <v>173313</v>
      </c>
      <c r="CH3" s="23">
        <v>182898</v>
      </c>
    </row>
    <row r="4" spans="1:95" x14ac:dyDescent="0.35">
      <c r="A4" s="25" t="s">
        <v>100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>
        <v>893</v>
      </c>
      <c r="AC4" s="23">
        <v>2645</v>
      </c>
      <c r="AD4" s="23">
        <v>3493</v>
      </c>
      <c r="AE4" s="23">
        <v>4398</v>
      </c>
      <c r="AF4" s="23">
        <v>4755</v>
      </c>
      <c r="AG4" s="23">
        <v>4874</v>
      </c>
      <c r="AH4" s="23">
        <v>5205</v>
      </c>
      <c r="AI4" s="23">
        <v>7603</v>
      </c>
      <c r="AJ4" s="23">
        <v>10551</v>
      </c>
      <c r="AK4" s="23">
        <v>11252</v>
      </c>
      <c r="AL4" s="23">
        <v>11987</v>
      </c>
      <c r="AM4" s="23">
        <v>13474</v>
      </c>
      <c r="AN4" s="23">
        <v>16668</v>
      </c>
      <c r="AO4" s="23">
        <v>19874</v>
      </c>
      <c r="AP4" s="23">
        <v>23217</v>
      </c>
      <c r="AQ4" s="23">
        <v>30340</v>
      </c>
      <c r="AR4" s="23">
        <v>34301</v>
      </c>
      <c r="AS4" s="23">
        <v>35641</v>
      </c>
      <c r="AT4" s="23">
        <v>40262</v>
      </c>
      <c r="AU4" s="23">
        <v>44871</v>
      </c>
      <c r="AV4" s="23">
        <v>51335</v>
      </c>
      <c r="AW4" s="23">
        <v>55992</v>
      </c>
      <c r="AX4" s="23">
        <v>59859</v>
      </c>
      <c r="AY4" s="23">
        <v>65396</v>
      </c>
      <c r="AZ4" s="23">
        <v>68556</v>
      </c>
      <c r="BA4" s="23">
        <v>72842</v>
      </c>
      <c r="BB4" s="23">
        <v>79108</v>
      </c>
      <c r="BC4" s="23">
        <v>81224</v>
      </c>
      <c r="BD4" s="23">
        <v>90062</v>
      </c>
      <c r="BE4" s="23">
        <v>96024</v>
      </c>
      <c r="BF4" s="23">
        <v>104997</v>
      </c>
      <c r="BG4" s="23">
        <v>110710</v>
      </c>
      <c r="BH4" s="23">
        <v>119863</v>
      </c>
      <c r="BI4" s="23">
        <v>132268</v>
      </c>
      <c r="BJ4" s="23">
        <v>135529</v>
      </c>
      <c r="BK4" s="23">
        <v>149651</v>
      </c>
      <c r="BL4" s="23">
        <v>149049</v>
      </c>
      <c r="BM4" s="23">
        <v>147186</v>
      </c>
      <c r="BN4" s="23">
        <v>150589</v>
      </c>
      <c r="BO4" s="23">
        <v>166068</v>
      </c>
      <c r="BP4" s="23">
        <v>177429</v>
      </c>
      <c r="BQ4" s="23">
        <v>184908</v>
      </c>
      <c r="BR4" s="23">
        <v>193980</v>
      </c>
      <c r="BS4" s="23">
        <v>190663</v>
      </c>
      <c r="BT4" s="23">
        <v>180068</v>
      </c>
      <c r="BU4" s="23">
        <v>188490</v>
      </c>
      <c r="BV4" s="23">
        <v>201143</v>
      </c>
      <c r="BW4" s="23">
        <v>209270</v>
      </c>
      <c r="BX4" s="23">
        <v>224107</v>
      </c>
      <c r="BY4" s="23">
        <v>234189</v>
      </c>
      <c r="BZ4" s="23">
        <v>246812</v>
      </c>
      <c r="CA4" s="23">
        <v>255930</v>
      </c>
      <c r="CB4" s="23">
        <v>260659</v>
      </c>
      <c r="CC4" s="23">
        <v>277572</v>
      </c>
      <c r="CD4" s="23">
        <v>291778</v>
      </c>
      <c r="CE4" s="23">
        <v>294818</v>
      </c>
      <c r="CF4" s="23">
        <v>339145</v>
      </c>
      <c r="CG4" s="23">
        <v>357762</v>
      </c>
      <c r="CH4" s="23">
        <v>386857</v>
      </c>
    </row>
    <row r="5" spans="1:95" x14ac:dyDescent="0.35">
      <c r="A5" s="25" t="s">
        <v>123</v>
      </c>
      <c r="B5" s="24">
        <v>121</v>
      </c>
      <c r="C5" s="24">
        <v>137</v>
      </c>
      <c r="D5" s="24">
        <v>170</v>
      </c>
      <c r="E5" s="24">
        <v>209</v>
      </c>
      <c r="F5" s="24">
        <v>267</v>
      </c>
      <c r="G5" s="24">
        <v>285</v>
      </c>
      <c r="H5" s="24">
        <v>282</v>
      </c>
      <c r="I5" s="24">
        <v>380</v>
      </c>
      <c r="J5" s="24">
        <v>557</v>
      </c>
      <c r="K5" s="24">
        <v>563</v>
      </c>
      <c r="L5" s="24">
        <v>550</v>
      </c>
      <c r="M5" s="24">
        <v>578</v>
      </c>
      <c r="N5" s="24">
        <v>735</v>
      </c>
      <c r="O5" s="24">
        <v>625</v>
      </c>
      <c r="P5" s="24">
        <v>603</v>
      </c>
      <c r="Q5" s="24">
        <v>600</v>
      </c>
      <c r="R5" s="24">
        <v>634</v>
      </c>
      <c r="S5" s="24">
        <v>616</v>
      </c>
      <c r="T5" s="24">
        <v>575</v>
      </c>
      <c r="U5" s="24">
        <v>525</v>
      </c>
      <c r="V5" s="24">
        <v>607</v>
      </c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</row>
    <row r="6" spans="1:95" x14ac:dyDescent="0.35">
      <c r="A6" s="25" t="s">
        <v>101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>
        <v>1391</v>
      </c>
      <c r="AV6" s="23">
        <v>1395</v>
      </c>
      <c r="AW6" s="23">
        <v>1414</v>
      </c>
      <c r="AX6" s="23">
        <v>1417</v>
      </c>
      <c r="AY6" s="23">
        <v>1407</v>
      </c>
      <c r="AZ6" s="23">
        <v>1387</v>
      </c>
      <c r="BA6" s="23">
        <v>1428</v>
      </c>
      <c r="BB6" s="23">
        <v>1508</v>
      </c>
      <c r="BC6" s="23">
        <v>1414</v>
      </c>
      <c r="BD6" s="23">
        <v>1399</v>
      </c>
      <c r="BE6" s="23">
        <v>1518</v>
      </c>
      <c r="BF6" s="23">
        <v>1510</v>
      </c>
      <c r="BG6" s="23">
        <v>1611</v>
      </c>
      <c r="BH6" s="23">
        <v>1769</v>
      </c>
      <c r="BI6" s="23">
        <v>1515</v>
      </c>
      <c r="BJ6" s="23">
        <v>1650</v>
      </c>
      <c r="BK6" s="23">
        <v>1614</v>
      </c>
      <c r="BL6" s="23">
        <v>1652</v>
      </c>
      <c r="BM6" s="23">
        <v>1620</v>
      </c>
      <c r="BN6" s="23">
        <v>1729</v>
      </c>
      <c r="BO6" s="23">
        <v>1836</v>
      </c>
      <c r="BP6" s="23">
        <v>1894</v>
      </c>
      <c r="BQ6" s="23">
        <v>1952</v>
      </c>
      <c r="BR6" s="23">
        <v>2029</v>
      </c>
      <c r="BS6" s="23">
        <v>1912</v>
      </c>
      <c r="BT6" s="23">
        <v>1854</v>
      </c>
      <c r="BU6" s="23">
        <v>1823</v>
      </c>
      <c r="BV6" s="23">
        <v>1764</v>
      </c>
      <c r="BW6" s="23">
        <v>2110</v>
      </c>
      <c r="BX6" s="23">
        <v>2325</v>
      </c>
      <c r="BY6" s="23">
        <v>2530</v>
      </c>
      <c r="BZ6" s="23">
        <v>2185</v>
      </c>
      <c r="CA6" s="23">
        <v>2213</v>
      </c>
      <c r="CB6" s="23">
        <v>2396</v>
      </c>
      <c r="CC6" s="23">
        <v>2259</v>
      </c>
      <c r="CD6" s="23">
        <v>1728</v>
      </c>
      <c r="CE6" s="23">
        <v>1842</v>
      </c>
      <c r="CF6" s="23">
        <v>2366</v>
      </c>
      <c r="CG6" s="23">
        <v>2912</v>
      </c>
      <c r="CH6" s="23">
        <v>2575</v>
      </c>
    </row>
    <row r="7" spans="1:95" x14ac:dyDescent="0.35">
      <c r="A7" s="25" t="s">
        <v>124</v>
      </c>
      <c r="B7" s="24">
        <v>1015</v>
      </c>
      <c r="C7" s="24">
        <v>1056</v>
      </c>
      <c r="D7" s="24">
        <v>1298</v>
      </c>
      <c r="E7" s="24">
        <v>1477</v>
      </c>
      <c r="F7" s="24">
        <v>1644</v>
      </c>
      <c r="G7" s="24">
        <v>1569</v>
      </c>
      <c r="H7" s="24">
        <v>1316</v>
      </c>
      <c r="I7" s="24">
        <v>1329</v>
      </c>
      <c r="J7" s="24">
        <v>1344</v>
      </c>
      <c r="K7" s="24">
        <v>1205</v>
      </c>
      <c r="L7" s="24">
        <v>1332</v>
      </c>
      <c r="M7" s="24">
        <v>1609</v>
      </c>
      <c r="N7" s="24">
        <v>1712</v>
      </c>
      <c r="O7" s="24">
        <v>1675</v>
      </c>
      <c r="P7" s="24">
        <v>1561</v>
      </c>
      <c r="Q7" s="24">
        <v>1450</v>
      </c>
      <c r="R7" s="24">
        <v>1690</v>
      </c>
      <c r="S7" s="24">
        <v>1951</v>
      </c>
      <c r="T7" s="24">
        <v>1934</v>
      </c>
      <c r="U7" s="24">
        <v>2131</v>
      </c>
      <c r="V7" s="24">
        <v>2668</v>
      </c>
      <c r="W7" s="24">
        <v>2903</v>
      </c>
      <c r="X7" s="24">
        <v>3337</v>
      </c>
      <c r="Y7" s="24">
        <v>4112</v>
      </c>
      <c r="Z7" s="24">
        <v>3997</v>
      </c>
      <c r="AA7" s="24">
        <v>3803</v>
      </c>
      <c r="AB7" s="24">
        <v>3755</v>
      </c>
      <c r="AC7" s="24">
        <v>3575</v>
      </c>
      <c r="AD7" s="24">
        <v>3346</v>
      </c>
      <c r="AE7" s="24">
        <v>3328</v>
      </c>
      <c r="AF7" s="24">
        <v>3464</v>
      </c>
      <c r="AG7" s="24">
        <v>3674</v>
      </c>
      <c r="AH7" s="24">
        <v>4357</v>
      </c>
      <c r="AI7" s="24">
        <v>6051</v>
      </c>
      <c r="AJ7" s="24">
        <v>6837</v>
      </c>
      <c r="AK7" s="24">
        <v>6771</v>
      </c>
      <c r="AL7" s="24">
        <v>8054</v>
      </c>
      <c r="AM7" s="24">
        <v>11312</v>
      </c>
      <c r="AN7" s="24">
        <v>13850</v>
      </c>
      <c r="AO7" s="24">
        <v>15387</v>
      </c>
      <c r="AP7" s="24">
        <v>15336</v>
      </c>
      <c r="AQ7" s="24">
        <v>15763</v>
      </c>
      <c r="AR7" s="24">
        <v>16600</v>
      </c>
      <c r="AS7" s="24">
        <v>18799</v>
      </c>
      <c r="AT7" s="24">
        <v>25138</v>
      </c>
      <c r="AU7" s="24">
        <v>25758</v>
      </c>
      <c r="AV7" s="24">
        <v>24098</v>
      </c>
      <c r="AW7" s="24">
        <v>25575</v>
      </c>
      <c r="AX7" s="24">
        <v>24584</v>
      </c>
      <c r="AY7" s="24">
        <v>22011</v>
      </c>
      <c r="AZ7" s="24">
        <v>21635</v>
      </c>
      <c r="BA7" s="24">
        <v>20922</v>
      </c>
      <c r="BB7" s="24">
        <v>23410</v>
      </c>
      <c r="BC7" s="24">
        <v>26556</v>
      </c>
      <c r="BD7" s="24">
        <v>28004</v>
      </c>
      <c r="BE7" s="24">
        <v>28878</v>
      </c>
      <c r="BF7" s="24">
        <v>28584</v>
      </c>
      <c r="BG7" s="24">
        <v>28202</v>
      </c>
      <c r="BH7" s="24">
        <v>27484</v>
      </c>
      <c r="BI7" s="24">
        <v>26480</v>
      </c>
      <c r="BJ7" s="24">
        <v>27640</v>
      </c>
      <c r="BK7" s="24">
        <v>27812</v>
      </c>
      <c r="BL7" s="24">
        <v>27619</v>
      </c>
      <c r="BM7" s="24">
        <v>33366</v>
      </c>
      <c r="BN7" s="24">
        <v>39453</v>
      </c>
      <c r="BO7" s="24">
        <v>42002</v>
      </c>
      <c r="BP7" s="24">
        <v>43420</v>
      </c>
      <c r="BQ7" s="24">
        <v>41091</v>
      </c>
      <c r="BR7" s="24">
        <v>39527</v>
      </c>
      <c r="BS7" s="24">
        <v>37889</v>
      </c>
      <c r="BT7" s="24">
        <v>44823</v>
      </c>
      <c r="BU7" s="24">
        <v>56241</v>
      </c>
      <c r="BV7" s="24">
        <v>66647</v>
      </c>
      <c r="BW7" s="24">
        <v>56811</v>
      </c>
      <c r="BX7" s="24">
        <v>54957</v>
      </c>
      <c r="BY7" s="24">
        <v>51178</v>
      </c>
      <c r="BZ7" s="24">
        <v>48856</v>
      </c>
      <c r="CA7" s="24">
        <v>45808</v>
      </c>
      <c r="CB7" s="24">
        <v>45042</v>
      </c>
      <c r="CC7" s="24">
        <v>40934</v>
      </c>
      <c r="CD7" s="24">
        <v>43104</v>
      </c>
      <c r="CE7" s="24">
        <v>56602</v>
      </c>
      <c r="CF7" s="24">
        <v>66498</v>
      </c>
      <c r="CG7" s="24">
        <v>49404</v>
      </c>
      <c r="CH7" s="24">
        <v>47975</v>
      </c>
    </row>
    <row r="8" spans="1:95" x14ac:dyDescent="0.35">
      <c r="A8" s="25" t="s">
        <v>125</v>
      </c>
      <c r="B8" s="24">
        <v>45</v>
      </c>
      <c r="C8" s="24">
        <v>57</v>
      </c>
      <c r="D8" s="24">
        <v>89</v>
      </c>
      <c r="E8" s="24">
        <v>229</v>
      </c>
      <c r="F8" s="24">
        <v>272</v>
      </c>
      <c r="G8" s="24">
        <v>291</v>
      </c>
      <c r="H8" s="24">
        <v>282</v>
      </c>
      <c r="I8" s="24">
        <v>259</v>
      </c>
      <c r="J8" s="24">
        <v>239</v>
      </c>
      <c r="K8" s="24">
        <v>330</v>
      </c>
      <c r="L8" s="24">
        <v>358</v>
      </c>
      <c r="M8" s="24">
        <v>377</v>
      </c>
      <c r="N8" s="24">
        <v>418</v>
      </c>
      <c r="O8" s="24">
        <v>423</v>
      </c>
      <c r="P8" s="24">
        <v>455</v>
      </c>
      <c r="Q8" s="24">
        <v>432</v>
      </c>
      <c r="R8" s="24">
        <v>571</v>
      </c>
      <c r="S8" s="24">
        <v>641</v>
      </c>
      <c r="T8" s="24">
        <v>682</v>
      </c>
      <c r="U8" s="24">
        <v>770</v>
      </c>
      <c r="V8" s="24">
        <v>768</v>
      </c>
      <c r="W8" s="24">
        <v>857</v>
      </c>
      <c r="X8" s="24">
        <v>875</v>
      </c>
      <c r="Y8" s="24">
        <v>946</v>
      </c>
      <c r="Z8" s="24">
        <v>1007</v>
      </c>
      <c r="AA8" s="24">
        <v>1080</v>
      </c>
      <c r="AB8" s="24">
        <v>1129</v>
      </c>
      <c r="AC8" s="24">
        <v>1221</v>
      </c>
      <c r="AD8" s="24">
        <v>1354</v>
      </c>
      <c r="AE8" s="24">
        <v>1450</v>
      </c>
      <c r="AF8" s="24">
        <v>1764</v>
      </c>
      <c r="AG8" s="24">
        <v>1953</v>
      </c>
      <c r="AH8" s="24">
        <v>2097</v>
      </c>
      <c r="AI8" s="24">
        <v>2187</v>
      </c>
      <c r="AJ8" s="24">
        <v>2347</v>
      </c>
      <c r="AK8" s="24">
        <v>2565</v>
      </c>
      <c r="AL8" s="24">
        <v>2814</v>
      </c>
      <c r="AM8" s="24">
        <v>2974</v>
      </c>
      <c r="AN8" s="24">
        <v>3236</v>
      </c>
      <c r="AO8" s="24">
        <v>3494</v>
      </c>
      <c r="AP8" s="24">
        <v>3719</v>
      </c>
      <c r="AQ8" s="24">
        <v>3984</v>
      </c>
      <c r="AR8" s="24">
        <v>4212</v>
      </c>
      <c r="AS8" s="24">
        <v>4429</v>
      </c>
      <c r="AT8" s="24">
        <v>4580</v>
      </c>
      <c r="AU8" s="24">
        <v>4759</v>
      </c>
      <c r="AV8" s="24">
        <v>4741</v>
      </c>
      <c r="AW8" s="24">
        <v>4715</v>
      </c>
      <c r="AX8" s="24">
        <v>4659</v>
      </c>
      <c r="AY8" s="24">
        <v>4547</v>
      </c>
      <c r="AZ8" s="24">
        <v>4522</v>
      </c>
      <c r="BA8" s="24">
        <v>4567</v>
      </c>
      <c r="BB8" s="24">
        <v>4788</v>
      </c>
      <c r="BC8" s="24">
        <v>4805</v>
      </c>
      <c r="BD8" s="24">
        <v>4661</v>
      </c>
      <c r="BE8" s="24">
        <v>4550</v>
      </c>
      <c r="BF8" s="24">
        <v>4469</v>
      </c>
      <c r="BG8" s="24">
        <v>4418</v>
      </c>
      <c r="BH8" s="24">
        <v>4333</v>
      </c>
      <c r="BI8" s="24">
        <v>4473</v>
      </c>
      <c r="BJ8" s="24">
        <v>4761</v>
      </c>
      <c r="BK8" s="24">
        <v>4713</v>
      </c>
      <c r="BL8" s="24">
        <v>4594</v>
      </c>
      <c r="BM8" s="24">
        <v>4631</v>
      </c>
      <c r="BN8" s="24">
        <v>4594</v>
      </c>
      <c r="BO8" s="24">
        <v>4459</v>
      </c>
      <c r="BP8" s="24">
        <v>4358</v>
      </c>
      <c r="BQ8" s="24">
        <v>4258</v>
      </c>
      <c r="BR8" s="24">
        <v>4169</v>
      </c>
      <c r="BS8" s="24">
        <v>4143</v>
      </c>
      <c r="BT8" s="24">
        <v>4097</v>
      </c>
      <c r="BU8" s="24">
        <v>4035</v>
      </c>
      <c r="BV8" s="24">
        <v>3740</v>
      </c>
      <c r="BW8" s="24">
        <v>3564</v>
      </c>
      <c r="BX8" s="24">
        <v>3472</v>
      </c>
      <c r="BY8" s="24">
        <v>3652</v>
      </c>
      <c r="BZ8" s="24">
        <v>3904</v>
      </c>
      <c r="CA8" s="24">
        <v>4192</v>
      </c>
      <c r="CB8" s="24">
        <v>4504</v>
      </c>
      <c r="CC8" s="24">
        <v>4786</v>
      </c>
      <c r="CD8" s="24">
        <v>5200</v>
      </c>
      <c r="CE8" s="24">
        <v>5628</v>
      </c>
      <c r="CF8" s="24">
        <v>6294</v>
      </c>
      <c r="CG8" s="24">
        <v>6905</v>
      </c>
      <c r="CH8" s="24">
        <v>7954</v>
      </c>
    </row>
  </sheetData>
  <mergeCells count="1">
    <mergeCell ref="CK2:C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9E1CC-A182-469B-8722-64C24B70AF77}">
  <dimension ref="A1:CH22"/>
  <sheetViews>
    <sheetView workbookViewId="0">
      <selection activeCell="CL5" sqref="CL5"/>
    </sheetView>
  </sheetViews>
  <sheetFormatPr defaultRowHeight="14.5" x14ac:dyDescent="0.35"/>
  <cols>
    <col min="1" max="1" width="42.453125" customWidth="1"/>
  </cols>
  <sheetData>
    <row r="1" spans="1:86" x14ac:dyDescent="0.35">
      <c r="A1" s="19"/>
      <c r="B1" s="20" t="s">
        <v>10</v>
      </c>
      <c r="C1" s="20" t="s">
        <v>11</v>
      </c>
      <c r="D1" s="20" t="s">
        <v>12</v>
      </c>
      <c r="E1" s="20" t="s">
        <v>13</v>
      </c>
      <c r="F1" s="20" t="s">
        <v>14</v>
      </c>
      <c r="G1" s="20" t="s">
        <v>15</v>
      </c>
      <c r="H1" s="21" t="s">
        <v>16</v>
      </c>
      <c r="I1" s="21" t="s">
        <v>17</v>
      </c>
      <c r="J1" s="21" t="s">
        <v>18</v>
      </c>
      <c r="K1" s="21" t="s">
        <v>19</v>
      </c>
      <c r="L1" s="21" t="s">
        <v>20</v>
      </c>
      <c r="M1" s="21" t="s">
        <v>21</v>
      </c>
      <c r="N1" s="21" t="s">
        <v>22</v>
      </c>
      <c r="O1" s="21" t="s">
        <v>23</v>
      </c>
      <c r="P1" s="21" t="s">
        <v>24</v>
      </c>
      <c r="Q1" s="21" t="s">
        <v>25</v>
      </c>
      <c r="R1" s="21" t="s">
        <v>26</v>
      </c>
      <c r="S1" s="21" t="s">
        <v>27</v>
      </c>
      <c r="T1" s="21" t="s">
        <v>28</v>
      </c>
      <c r="U1" s="21" t="s">
        <v>29</v>
      </c>
      <c r="V1" s="21" t="s">
        <v>30</v>
      </c>
      <c r="W1" s="21" t="s">
        <v>31</v>
      </c>
      <c r="X1" s="21" t="s">
        <v>32</v>
      </c>
      <c r="Y1" s="21" t="s">
        <v>33</v>
      </c>
      <c r="Z1" s="21" t="s">
        <v>34</v>
      </c>
      <c r="AA1" s="21" t="s">
        <v>35</v>
      </c>
      <c r="AB1" s="21" t="s">
        <v>36</v>
      </c>
      <c r="AC1" s="21" t="s">
        <v>37</v>
      </c>
      <c r="AD1" s="21" t="s">
        <v>38</v>
      </c>
      <c r="AE1" s="21" t="s">
        <v>39</v>
      </c>
      <c r="AF1" s="21" t="s">
        <v>40</v>
      </c>
      <c r="AG1" s="21" t="s">
        <v>41</v>
      </c>
      <c r="AH1" s="21" t="s">
        <v>42</v>
      </c>
      <c r="AI1" s="21" t="s">
        <v>43</v>
      </c>
      <c r="AJ1" s="21" t="s">
        <v>44</v>
      </c>
      <c r="AK1" s="21" t="s">
        <v>45</v>
      </c>
      <c r="AL1" s="21" t="s">
        <v>46</v>
      </c>
      <c r="AM1" s="21" t="s">
        <v>47</v>
      </c>
      <c r="AN1" s="21" t="s">
        <v>48</v>
      </c>
      <c r="AO1" s="21" t="s">
        <v>49</v>
      </c>
      <c r="AP1" s="21" t="s">
        <v>50</v>
      </c>
      <c r="AQ1" s="21" t="s">
        <v>51</v>
      </c>
      <c r="AR1" s="21" t="s">
        <v>52</v>
      </c>
      <c r="AS1" s="21" t="s">
        <v>53</v>
      </c>
      <c r="AT1" s="21" t="s">
        <v>54</v>
      </c>
      <c r="AU1" s="21" t="s">
        <v>55</v>
      </c>
      <c r="AV1" s="21" t="s">
        <v>56</v>
      </c>
      <c r="AW1" s="21" t="s">
        <v>57</v>
      </c>
      <c r="AX1" s="21" t="s">
        <v>58</v>
      </c>
      <c r="AY1" s="21" t="s">
        <v>59</v>
      </c>
      <c r="AZ1" s="21" t="s">
        <v>60</v>
      </c>
      <c r="BA1" s="21" t="s">
        <v>61</v>
      </c>
      <c r="BB1" s="21" t="s">
        <v>62</v>
      </c>
      <c r="BC1" s="21" t="s">
        <v>63</v>
      </c>
      <c r="BD1" s="21" t="s">
        <v>64</v>
      </c>
      <c r="BE1" s="21" t="s">
        <v>65</v>
      </c>
      <c r="BF1" s="21" t="s">
        <v>66</v>
      </c>
      <c r="BG1" s="21" t="s">
        <v>67</v>
      </c>
      <c r="BH1" s="21" t="s">
        <v>68</v>
      </c>
      <c r="BI1" s="21" t="s">
        <v>69</v>
      </c>
      <c r="BJ1" s="21" t="s">
        <v>70</v>
      </c>
      <c r="BK1" s="21" t="s">
        <v>71</v>
      </c>
      <c r="BL1" s="21" t="s">
        <v>72</v>
      </c>
      <c r="BM1" s="21" t="s">
        <v>73</v>
      </c>
      <c r="BN1" s="21" t="s">
        <v>74</v>
      </c>
      <c r="BO1" s="21" t="s">
        <v>75</v>
      </c>
      <c r="BP1" s="21" t="s">
        <v>76</v>
      </c>
      <c r="BQ1" s="21" t="s">
        <v>77</v>
      </c>
      <c r="BR1" s="21" t="s">
        <v>78</v>
      </c>
      <c r="BS1" s="21" t="s">
        <v>79</v>
      </c>
      <c r="BT1" s="21" t="s">
        <v>80</v>
      </c>
      <c r="BU1" s="21" t="s">
        <v>81</v>
      </c>
      <c r="BV1" s="21" t="s">
        <v>82</v>
      </c>
      <c r="BW1" s="21" t="s">
        <v>83</v>
      </c>
      <c r="BX1" s="21" t="s">
        <v>84</v>
      </c>
      <c r="BY1" s="21" t="s">
        <v>85</v>
      </c>
      <c r="BZ1" s="21" t="s">
        <v>86</v>
      </c>
      <c r="CA1" s="21" t="s">
        <v>87</v>
      </c>
      <c r="CB1" s="21" t="s">
        <v>88</v>
      </c>
      <c r="CC1" s="21" t="s">
        <v>89</v>
      </c>
      <c r="CD1" s="21" t="s">
        <v>90</v>
      </c>
      <c r="CE1" s="21" t="s">
        <v>91</v>
      </c>
      <c r="CF1" s="21" t="s">
        <v>92</v>
      </c>
      <c r="CG1" s="21" t="s">
        <v>93</v>
      </c>
      <c r="CH1" s="21" t="s">
        <v>94</v>
      </c>
    </row>
    <row r="2" spans="1:86" x14ac:dyDescent="0.35">
      <c r="A2" s="25" t="s">
        <v>102</v>
      </c>
      <c r="B2" s="23">
        <v>623</v>
      </c>
      <c r="C2" s="23">
        <v>818</v>
      </c>
      <c r="D2" s="23">
        <v>1046</v>
      </c>
      <c r="E2" s="23">
        <v>1422</v>
      </c>
      <c r="F2" s="23">
        <v>1604</v>
      </c>
      <c r="G2" s="23">
        <v>2275</v>
      </c>
      <c r="H2" s="23">
        <v>2490</v>
      </c>
      <c r="I2" s="23">
        <v>2429</v>
      </c>
      <c r="J2" s="23">
        <v>2217</v>
      </c>
      <c r="K2" s="23">
        <v>2168</v>
      </c>
      <c r="L2" s="23">
        <v>2180</v>
      </c>
      <c r="M2" s="23">
        <v>2508</v>
      </c>
      <c r="N2" s="23">
        <v>2515</v>
      </c>
      <c r="O2" s="23">
        <v>2723</v>
      </c>
      <c r="P2" s="23">
        <v>2738</v>
      </c>
      <c r="Q2" s="23">
        <v>2689</v>
      </c>
      <c r="R2" s="23">
        <v>2866</v>
      </c>
      <c r="S2" s="23">
        <v>2915</v>
      </c>
      <c r="T2" s="23">
        <v>2882</v>
      </c>
      <c r="U2" s="23">
        <v>2938</v>
      </c>
      <c r="V2" s="23">
        <v>3127</v>
      </c>
      <c r="W2" s="23">
        <v>3146</v>
      </c>
      <c r="X2" s="23">
        <v>3268</v>
      </c>
      <c r="Y2" s="23">
        <v>3366</v>
      </c>
      <c r="Z2" s="23">
        <v>3499</v>
      </c>
      <c r="AA2" s="23">
        <v>3689</v>
      </c>
      <c r="AB2" s="23">
        <v>3720</v>
      </c>
      <c r="AC2" s="23">
        <v>3980</v>
      </c>
      <c r="AD2" s="23">
        <v>4189</v>
      </c>
      <c r="AE2" s="23">
        <v>4447</v>
      </c>
      <c r="AF2" s="23">
        <v>4646</v>
      </c>
      <c r="AG2" s="23">
        <v>4696</v>
      </c>
      <c r="AH2" s="23">
        <v>5004</v>
      </c>
      <c r="AI2" s="23">
        <v>5040</v>
      </c>
      <c r="AJ2" s="23">
        <v>5248</v>
      </c>
      <c r="AK2" s="23">
        <v>5238</v>
      </c>
      <c r="AL2" s="23">
        <v>5318</v>
      </c>
      <c r="AM2" s="23">
        <v>5295</v>
      </c>
      <c r="AN2" s="23">
        <v>5492</v>
      </c>
      <c r="AO2" s="23">
        <v>5531</v>
      </c>
      <c r="AP2" s="23">
        <v>5601</v>
      </c>
      <c r="AQ2" s="23">
        <v>5606</v>
      </c>
      <c r="AR2" s="23">
        <v>5382</v>
      </c>
      <c r="AS2" s="23">
        <v>5557</v>
      </c>
      <c r="AT2" s="23">
        <v>5315</v>
      </c>
      <c r="AU2" s="23">
        <v>5562</v>
      </c>
      <c r="AV2" s="23">
        <v>5828</v>
      </c>
      <c r="AW2" s="23">
        <v>5971</v>
      </c>
      <c r="AX2" s="23">
        <v>5709</v>
      </c>
      <c r="AY2" s="23">
        <v>5661</v>
      </c>
      <c r="AZ2" s="23">
        <v>5695</v>
      </c>
      <c r="BA2" s="23">
        <v>7364</v>
      </c>
      <c r="BB2" s="23">
        <v>8011</v>
      </c>
      <c r="BC2" s="23">
        <v>7583</v>
      </c>
      <c r="BD2" s="23">
        <v>7539</v>
      </c>
      <c r="BE2" s="23">
        <v>7216</v>
      </c>
      <c r="BF2" s="23">
        <v>7220</v>
      </c>
      <c r="BG2" s="23">
        <v>7257</v>
      </c>
      <c r="BH2" s="23">
        <v>7215</v>
      </c>
      <c r="BI2" s="23">
        <v>7386</v>
      </c>
      <c r="BJ2" s="23">
        <v>8140</v>
      </c>
      <c r="BK2" s="23">
        <v>7624</v>
      </c>
      <c r="BL2" s="23">
        <v>7764</v>
      </c>
      <c r="BM2" s="23">
        <v>7893</v>
      </c>
      <c r="BN2" s="23">
        <v>8105</v>
      </c>
      <c r="BO2" s="23">
        <v>8111</v>
      </c>
      <c r="BP2" s="23">
        <v>8484</v>
      </c>
      <c r="BQ2" s="23">
        <v>8648</v>
      </c>
      <c r="BR2" s="23">
        <v>9283</v>
      </c>
      <c r="BS2" s="23">
        <v>9903</v>
      </c>
      <c r="BT2" s="23">
        <v>9229</v>
      </c>
      <c r="BU2" s="23">
        <v>9294</v>
      </c>
      <c r="BV2" s="23">
        <v>9765</v>
      </c>
      <c r="BW2" s="23">
        <v>9253</v>
      </c>
      <c r="BX2" s="23">
        <v>9815</v>
      </c>
      <c r="BY2" s="23">
        <v>9639</v>
      </c>
      <c r="BZ2" s="23">
        <v>9799</v>
      </c>
      <c r="CA2" s="23">
        <v>9924</v>
      </c>
      <c r="CB2" s="23">
        <v>10057</v>
      </c>
      <c r="CC2" s="23">
        <v>9992</v>
      </c>
      <c r="CD2" s="23">
        <v>9490</v>
      </c>
      <c r="CE2" s="23">
        <v>10274</v>
      </c>
      <c r="CF2" s="23">
        <v>10196</v>
      </c>
      <c r="CG2" s="23">
        <v>9501</v>
      </c>
      <c r="CH2" s="23">
        <v>8929</v>
      </c>
    </row>
    <row r="3" spans="1:86" x14ac:dyDescent="0.35">
      <c r="A3" s="25" t="s">
        <v>103</v>
      </c>
      <c r="B3" s="23">
        <v>606</v>
      </c>
      <c r="C3" s="23">
        <v>691</v>
      </c>
      <c r="D3" s="23">
        <v>779</v>
      </c>
      <c r="E3" s="23">
        <v>913</v>
      </c>
      <c r="F3" s="23">
        <v>986</v>
      </c>
      <c r="G3" s="23">
        <v>929</v>
      </c>
      <c r="H3" s="23">
        <v>1156</v>
      </c>
      <c r="I3" s="23">
        <v>1231</v>
      </c>
      <c r="J3" s="23">
        <v>1297</v>
      </c>
      <c r="K3" s="23">
        <v>1319</v>
      </c>
      <c r="L3" s="23">
        <v>1326</v>
      </c>
      <c r="M3" s="23">
        <v>1378</v>
      </c>
      <c r="N3" s="23">
        <v>1562</v>
      </c>
      <c r="O3" s="23">
        <v>1652</v>
      </c>
      <c r="P3" s="23">
        <v>1578</v>
      </c>
      <c r="Q3" s="23">
        <v>1568</v>
      </c>
      <c r="R3" s="23">
        <v>1607</v>
      </c>
      <c r="S3" s="23">
        <v>1669</v>
      </c>
      <c r="T3" s="23">
        <v>1728</v>
      </c>
      <c r="U3" s="23">
        <v>1798</v>
      </c>
      <c r="V3" s="23">
        <v>1927</v>
      </c>
      <c r="W3" s="23">
        <v>1986</v>
      </c>
      <c r="X3" s="23">
        <v>2022</v>
      </c>
      <c r="Y3" s="23">
        <v>2075</v>
      </c>
      <c r="Z3" s="23">
        <v>2048</v>
      </c>
      <c r="AA3" s="23">
        <v>2142</v>
      </c>
      <c r="AB3" s="23">
        <v>2066</v>
      </c>
      <c r="AC3" s="23">
        <v>2077</v>
      </c>
      <c r="AD3" s="23">
        <v>2121</v>
      </c>
      <c r="AE3" s="23">
        <v>2136</v>
      </c>
      <c r="AF3" s="23">
        <v>2093</v>
      </c>
      <c r="AG3" s="23">
        <v>2205</v>
      </c>
      <c r="AH3" s="23">
        <v>2205</v>
      </c>
      <c r="AI3" s="23">
        <v>2274</v>
      </c>
      <c r="AJ3" s="23">
        <v>2435</v>
      </c>
      <c r="AK3" s="23">
        <v>2312</v>
      </c>
      <c r="AL3" s="23">
        <v>2484</v>
      </c>
      <c r="AM3" s="23">
        <v>2393</v>
      </c>
      <c r="AN3" s="23">
        <v>2444</v>
      </c>
      <c r="AO3" s="23">
        <v>2492</v>
      </c>
      <c r="AP3" s="23">
        <v>2443</v>
      </c>
      <c r="AQ3" s="23">
        <v>2581</v>
      </c>
      <c r="AR3" s="23">
        <v>2537</v>
      </c>
      <c r="AS3" s="23">
        <v>4136</v>
      </c>
      <c r="AT3" s="23">
        <v>4660</v>
      </c>
      <c r="AU3" s="23">
        <v>4779</v>
      </c>
      <c r="AV3" s="23">
        <v>4589</v>
      </c>
      <c r="AW3" s="23">
        <v>4763</v>
      </c>
      <c r="AX3" s="23">
        <v>4616</v>
      </c>
      <c r="AY3" s="23">
        <v>4378</v>
      </c>
      <c r="AZ3" s="23">
        <v>4081</v>
      </c>
      <c r="BA3" s="23">
        <v>4706</v>
      </c>
      <c r="BB3" s="23">
        <v>5049</v>
      </c>
      <c r="BC3" s="23">
        <v>5875</v>
      </c>
      <c r="BD3" s="23">
        <v>5691</v>
      </c>
      <c r="BE3" s="23">
        <v>5878</v>
      </c>
      <c r="BF3" s="23">
        <v>5795</v>
      </c>
      <c r="BG3" s="23">
        <v>5873</v>
      </c>
      <c r="BH3" s="23">
        <v>5657</v>
      </c>
      <c r="BI3" s="23">
        <v>5400</v>
      </c>
      <c r="BJ3" s="23">
        <v>7221</v>
      </c>
      <c r="BK3" s="23">
        <v>7396</v>
      </c>
      <c r="BL3" s="23">
        <v>8274</v>
      </c>
      <c r="BM3" s="23">
        <v>7934</v>
      </c>
      <c r="BN3" s="23">
        <v>7926</v>
      </c>
      <c r="BO3" s="23">
        <v>7920</v>
      </c>
      <c r="BP3" s="23">
        <v>7710</v>
      </c>
      <c r="BQ3" s="23">
        <v>7556</v>
      </c>
      <c r="BR3" s="23">
        <v>7639</v>
      </c>
      <c r="BS3" s="23">
        <v>12841</v>
      </c>
      <c r="BT3" s="23">
        <v>17160</v>
      </c>
      <c r="BU3" s="23">
        <v>16685</v>
      </c>
      <c r="BV3" s="23">
        <v>16351</v>
      </c>
      <c r="BW3" s="23">
        <v>15083</v>
      </c>
      <c r="BX3" s="23">
        <v>15562</v>
      </c>
      <c r="BY3" s="23">
        <v>14453</v>
      </c>
      <c r="BZ3" s="23">
        <v>14103</v>
      </c>
      <c r="CA3" s="23">
        <v>13804</v>
      </c>
      <c r="CB3" s="23">
        <v>12861</v>
      </c>
      <c r="CC3" s="23">
        <v>12457</v>
      </c>
      <c r="CD3" s="23">
        <v>12354</v>
      </c>
      <c r="CE3" s="23">
        <v>12136</v>
      </c>
      <c r="CF3" s="23">
        <v>11259</v>
      </c>
      <c r="CG3" s="23">
        <v>10299</v>
      </c>
      <c r="CH3" s="23">
        <v>9378</v>
      </c>
    </row>
    <row r="4" spans="1:86" x14ac:dyDescent="0.35">
      <c r="A4" s="25" t="s">
        <v>104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>
        <v>6934</v>
      </c>
      <c r="AQ4" s="23">
        <v>23252</v>
      </c>
      <c r="AR4" s="23">
        <v>18407</v>
      </c>
      <c r="AS4" s="23">
        <v>12135</v>
      </c>
      <c r="AT4" s="23">
        <v>8906</v>
      </c>
      <c r="AU4" s="23">
        <v>6348</v>
      </c>
      <c r="AV4" s="23">
        <v>2251</v>
      </c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</row>
    <row r="5" spans="1:86" x14ac:dyDescent="0.35">
      <c r="A5" s="25" t="s">
        <v>105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>
        <v>2035</v>
      </c>
      <c r="AU5" s="23">
        <v>2147</v>
      </c>
      <c r="AV5" s="23">
        <v>2339</v>
      </c>
      <c r="AW5" s="23">
        <v>2522</v>
      </c>
      <c r="AX5" s="23">
        <v>2610</v>
      </c>
      <c r="AY5" s="23">
        <v>2791</v>
      </c>
      <c r="AZ5" s="23">
        <v>2995</v>
      </c>
      <c r="BA5" s="23">
        <v>3094</v>
      </c>
      <c r="BB5" s="23">
        <v>3146</v>
      </c>
      <c r="BC5" s="23">
        <v>3320</v>
      </c>
      <c r="BD5" s="23">
        <v>3526</v>
      </c>
      <c r="BE5" s="23">
        <v>3794</v>
      </c>
      <c r="BF5" s="23">
        <v>4234</v>
      </c>
      <c r="BG5" s="23">
        <v>4543</v>
      </c>
      <c r="BH5" s="23">
        <v>4910</v>
      </c>
      <c r="BI5" s="23">
        <v>5185</v>
      </c>
      <c r="BJ5" s="23">
        <v>5670</v>
      </c>
      <c r="BK5" s="23">
        <v>5769</v>
      </c>
      <c r="BL5" s="23">
        <v>5829</v>
      </c>
      <c r="BM5" s="23">
        <v>5788</v>
      </c>
      <c r="BN5" s="23">
        <v>5997</v>
      </c>
      <c r="BO5" s="23">
        <v>6047</v>
      </c>
      <c r="BP5" s="23">
        <v>4897</v>
      </c>
      <c r="BQ5" s="23"/>
      <c r="BR5" s="23">
        <v>1048</v>
      </c>
      <c r="BS5" s="23">
        <v>1115</v>
      </c>
      <c r="BT5" s="23">
        <v>993</v>
      </c>
      <c r="BU5" s="23">
        <v>930</v>
      </c>
      <c r="BV5" s="23">
        <v>757</v>
      </c>
      <c r="BW5" s="23">
        <v>733</v>
      </c>
      <c r="BX5" s="23">
        <v>611</v>
      </c>
      <c r="BY5" s="23">
        <v>607</v>
      </c>
      <c r="BZ5" s="23">
        <v>548</v>
      </c>
      <c r="CA5" s="23">
        <v>558</v>
      </c>
      <c r="CB5" s="23">
        <v>512</v>
      </c>
      <c r="CC5" s="23">
        <v>436</v>
      </c>
      <c r="CD5" s="23">
        <v>370</v>
      </c>
      <c r="CE5" s="23">
        <v>321</v>
      </c>
      <c r="CF5" s="23">
        <v>316</v>
      </c>
      <c r="CG5" s="23">
        <v>303</v>
      </c>
      <c r="CH5" s="23">
        <v>237</v>
      </c>
    </row>
    <row r="6" spans="1:86" x14ac:dyDescent="0.35">
      <c r="A6" s="25" t="s">
        <v>106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>
        <v>360</v>
      </c>
      <c r="BA6" s="23">
        <v>562</v>
      </c>
      <c r="BB6" s="23">
        <v>637</v>
      </c>
      <c r="BC6" s="23">
        <v>854</v>
      </c>
      <c r="BD6" s="23">
        <v>761</v>
      </c>
      <c r="BE6" s="23">
        <v>616</v>
      </c>
      <c r="BF6" s="23">
        <v>320</v>
      </c>
      <c r="BG6" s="23">
        <v>130</v>
      </c>
      <c r="BH6" s="23">
        <v>98</v>
      </c>
      <c r="BI6" s="23">
        <v>105</v>
      </c>
      <c r="BJ6" s="23">
        <v>125</v>
      </c>
      <c r="BK6" s="23">
        <v>32</v>
      </c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</row>
    <row r="7" spans="1:86" x14ac:dyDescent="0.35">
      <c r="A7" s="25" t="s">
        <v>107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>
        <v>2780</v>
      </c>
      <c r="BB7" s="23">
        <v>3512</v>
      </c>
      <c r="BC7" s="23">
        <v>3340</v>
      </c>
      <c r="BD7" s="23">
        <v>9402</v>
      </c>
      <c r="BE7" s="23">
        <v>8491</v>
      </c>
      <c r="BF7" s="23">
        <v>7468</v>
      </c>
      <c r="BG7" s="23">
        <v>7107</v>
      </c>
      <c r="BH7" s="23">
        <v>589</v>
      </c>
      <c r="BI7" s="23">
        <v>849</v>
      </c>
      <c r="BJ7" s="23">
        <v>819</v>
      </c>
      <c r="BK7" s="23">
        <v>1150</v>
      </c>
      <c r="BL7" s="23">
        <v>814</v>
      </c>
      <c r="BM7" s="23">
        <v>920</v>
      </c>
      <c r="BN7" s="23">
        <v>1381</v>
      </c>
      <c r="BO7" s="23">
        <v>0</v>
      </c>
      <c r="BP7" s="23">
        <v>0</v>
      </c>
      <c r="BQ7" s="23">
        <v>0</v>
      </c>
      <c r="BR7" s="23">
        <v>0</v>
      </c>
      <c r="BS7" s="23">
        <v>0</v>
      </c>
      <c r="BT7" s="23">
        <v>0</v>
      </c>
      <c r="BU7" s="23">
        <v>0</v>
      </c>
      <c r="BV7" s="23">
        <v>0</v>
      </c>
      <c r="BW7" s="23">
        <v>0</v>
      </c>
      <c r="BX7" s="23">
        <v>0</v>
      </c>
      <c r="BY7" s="23">
        <v>0</v>
      </c>
      <c r="BZ7" s="23">
        <v>0</v>
      </c>
      <c r="CA7" s="23">
        <v>0</v>
      </c>
      <c r="CB7" s="23">
        <v>0</v>
      </c>
      <c r="CC7" s="23">
        <v>0</v>
      </c>
      <c r="CD7" s="23">
        <v>0</v>
      </c>
      <c r="CE7" s="23">
        <v>0</v>
      </c>
      <c r="CF7" s="23">
        <v>0</v>
      </c>
      <c r="CG7" s="23">
        <v>0</v>
      </c>
      <c r="CH7" s="23">
        <v>0</v>
      </c>
    </row>
    <row r="8" spans="1:86" x14ac:dyDescent="0.35">
      <c r="A8" s="25" t="s">
        <v>108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>
        <v>7987</v>
      </c>
      <c r="BY8" s="23">
        <v>11261</v>
      </c>
      <c r="BZ8" s="23">
        <v>11239</v>
      </c>
      <c r="CA8" s="23">
        <v>68</v>
      </c>
      <c r="CB8" s="23">
        <v>4681</v>
      </c>
      <c r="CC8" s="23">
        <v>9590</v>
      </c>
      <c r="CD8" s="23">
        <v>15316</v>
      </c>
      <c r="CE8" s="23">
        <v>206</v>
      </c>
      <c r="CF8" s="23"/>
      <c r="CG8" s="23"/>
      <c r="CH8" s="23"/>
    </row>
    <row r="9" spans="1:86" x14ac:dyDescent="0.35">
      <c r="A9" s="25" t="s">
        <v>109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>
        <v>1343</v>
      </c>
      <c r="BX9" s="23">
        <v>1977</v>
      </c>
      <c r="BY9" s="23">
        <v>1987</v>
      </c>
      <c r="BZ9" s="23">
        <v>619</v>
      </c>
      <c r="CA9" s="23">
        <v>0</v>
      </c>
      <c r="CB9" s="23">
        <v>0</v>
      </c>
      <c r="CC9" s="23">
        <v>0</v>
      </c>
      <c r="CD9" s="23">
        <v>0</v>
      </c>
      <c r="CE9" s="23">
        <v>0</v>
      </c>
      <c r="CF9" s="23">
        <v>0</v>
      </c>
      <c r="CG9" s="23"/>
      <c r="CH9" s="23"/>
    </row>
    <row r="10" spans="1:86" x14ac:dyDescent="0.35">
      <c r="A10" s="25" t="s">
        <v>110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>
        <v>1479</v>
      </c>
      <c r="T10" s="23">
        <v>2026</v>
      </c>
      <c r="U10" s="23">
        <v>2074</v>
      </c>
      <c r="V10" s="23">
        <v>2539</v>
      </c>
      <c r="W10" s="23">
        <v>2798</v>
      </c>
      <c r="X10" s="23">
        <v>2949</v>
      </c>
      <c r="Y10" s="23">
        <v>3279</v>
      </c>
      <c r="Z10" s="23">
        <v>3519</v>
      </c>
      <c r="AA10" s="23">
        <v>3659</v>
      </c>
      <c r="AB10" s="23">
        <v>3917</v>
      </c>
      <c r="AC10" s="23">
        <v>4441</v>
      </c>
      <c r="AD10" s="23">
        <v>4379</v>
      </c>
      <c r="AE10" s="23">
        <v>4637</v>
      </c>
      <c r="AF10" s="23">
        <v>5354</v>
      </c>
      <c r="AG10" s="23">
        <v>5542</v>
      </c>
      <c r="AH10" s="23">
        <v>5322</v>
      </c>
      <c r="AI10" s="23">
        <v>5665</v>
      </c>
      <c r="AJ10" s="23">
        <v>6260</v>
      </c>
      <c r="AK10" s="23">
        <v>6188</v>
      </c>
      <c r="AL10" s="23">
        <v>5413</v>
      </c>
      <c r="AM10" s="23">
        <v>6709</v>
      </c>
      <c r="AN10" s="23">
        <v>6904</v>
      </c>
      <c r="AO10" s="23">
        <v>7189</v>
      </c>
      <c r="AP10" s="23">
        <v>6620</v>
      </c>
      <c r="AQ10" s="23">
        <v>6305</v>
      </c>
      <c r="AR10" s="23">
        <v>6744</v>
      </c>
      <c r="AS10" s="23">
        <v>8297</v>
      </c>
      <c r="AT10" s="23">
        <v>11743</v>
      </c>
      <c r="AU10" s="23">
        <v>13015</v>
      </c>
      <c r="AV10" s="23">
        <v>13363</v>
      </c>
      <c r="AW10" s="23">
        <v>13032</v>
      </c>
      <c r="AX10" s="23">
        <v>14114</v>
      </c>
      <c r="AY10" s="23">
        <v>15628</v>
      </c>
      <c r="AZ10" s="23">
        <v>13867</v>
      </c>
      <c r="BA10" s="23">
        <v>16979</v>
      </c>
      <c r="BB10" s="23">
        <v>16733</v>
      </c>
      <c r="BC10" s="23">
        <v>18039</v>
      </c>
      <c r="BD10" s="23">
        <v>16668</v>
      </c>
      <c r="BE10" s="23">
        <v>22611</v>
      </c>
      <c r="BF10" s="23">
        <v>24651</v>
      </c>
      <c r="BG10" s="23">
        <v>23867</v>
      </c>
      <c r="BH10" s="23">
        <v>26628</v>
      </c>
      <c r="BI10" s="23">
        <v>39299</v>
      </c>
      <c r="BJ10" s="23">
        <v>34972</v>
      </c>
      <c r="BK10" s="23">
        <v>31469</v>
      </c>
      <c r="BL10" s="23">
        <v>32603</v>
      </c>
      <c r="BM10" s="23">
        <v>33726</v>
      </c>
      <c r="BN10" s="23">
        <v>34711</v>
      </c>
      <c r="BO10" s="23">
        <v>37892</v>
      </c>
      <c r="BP10" s="23">
        <v>38542</v>
      </c>
      <c r="BQ10" s="23">
        <v>39361</v>
      </c>
      <c r="BR10" s="23">
        <v>36385</v>
      </c>
      <c r="BS10" s="23">
        <v>34961</v>
      </c>
      <c r="BT10" s="23">
        <v>34992</v>
      </c>
      <c r="BU10" s="23">
        <v>36906</v>
      </c>
      <c r="BV10" s="23">
        <v>40169</v>
      </c>
      <c r="BW10" s="23">
        <v>36462</v>
      </c>
      <c r="BX10" s="23">
        <v>39049</v>
      </c>
      <c r="BY10" s="23">
        <v>40813</v>
      </c>
      <c r="BZ10" s="23">
        <v>41344</v>
      </c>
      <c r="CA10" s="23">
        <v>41020</v>
      </c>
      <c r="CB10" s="23">
        <v>42613</v>
      </c>
      <c r="CC10" s="23">
        <v>43671</v>
      </c>
      <c r="CD10" s="23">
        <v>42764</v>
      </c>
      <c r="CE10" s="23">
        <v>43464</v>
      </c>
      <c r="CF10" s="23">
        <v>46631</v>
      </c>
      <c r="CG10" s="23">
        <v>42216</v>
      </c>
      <c r="CH10" s="23">
        <v>42507</v>
      </c>
    </row>
    <row r="11" spans="1:86" x14ac:dyDescent="0.35">
      <c r="A11" s="25" t="s">
        <v>111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>
        <v>563</v>
      </c>
      <c r="AH11" s="23">
        <v>649</v>
      </c>
      <c r="AI11" s="23">
        <v>758</v>
      </c>
      <c r="AJ11" s="23">
        <v>840</v>
      </c>
      <c r="AK11" s="23">
        <v>962</v>
      </c>
      <c r="AL11" s="23">
        <v>938</v>
      </c>
      <c r="AM11" s="23">
        <v>1191</v>
      </c>
      <c r="AN11" s="23">
        <v>1326</v>
      </c>
      <c r="AO11" s="23">
        <v>1526</v>
      </c>
      <c r="AP11" s="23">
        <v>1874</v>
      </c>
      <c r="AQ11" s="23">
        <v>21</v>
      </c>
      <c r="AR11" s="23">
        <v>133</v>
      </c>
      <c r="AS11" s="23">
        <v>2165</v>
      </c>
      <c r="AT11" s="23">
        <v>2499</v>
      </c>
      <c r="AU11" s="23">
        <v>2851</v>
      </c>
      <c r="AV11" s="23">
        <v>2736</v>
      </c>
      <c r="AW11" s="23">
        <v>3060</v>
      </c>
      <c r="AX11" s="23">
        <v>3189</v>
      </c>
      <c r="AY11" s="23">
        <v>3664</v>
      </c>
      <c r="AZ11" s="23">
        <v>3700</v>
      </c>
      <c r="BA11" s="23">
        <v>4910</v>
      </c>
      <c r="BB11" s="23">
        <v>4645</v>
      </c>
      <c r="BC11" s="23">
        <v>3262</v>
      </c>
      <c r="BD11" s="23">
        <v>5189</v>
      </c>
      <c r="BE11" s="23">
        <v>5534</v>
      </c>
      <c r="BF11" s="23">
        <v>2369</v>
      </c>
      <c r="BG11" s="23">
        <v>4007</v>
      </c>
      <c r="BH11" s="23">
        <v>8111</v>
      </c>
      <c r="BI11" s="23">
        <v>10391</v>
      </c>
      <c r="BJ11" s="23">
        <v>9739</v>
      </c>
      <c r="BK11" s="23">
        <v>9191</v>
      </c>
      <c r="BL11" s="23">
        <v>9031</v>
      </c>
      <c r="BM11" s="23">
        <v>8684</v>
      </c>
      <c r="BN11" s="23">
        <v>9174</v>
      </c>
      <c r="BO11" s="23">
        <v>10314</v>
      </c>
      <c r="BP11" s="23">
        <v>10426</v>
      </c>
      <c r="BQ11" s="23">
        <v>11468</v>
      </c>
      <c r="BR11" s="23">
        <v>11992</v>
      </c>
      <c r="BS11" s="23">
        <v>10569</v>
      </c>
      <c r="BT11" s="23">
        <v>10612</v>
      </c>
      <c r="BU11" s="23">
        <v>11532</v>
      </c>
      <c r="BV11" s="23">
        <v>12532</v>
      </c>
      <c r="BW11" s="23">
        <v>12854</v>
      </c>
      <c r="BX11" s="23">
        <v>13513</v>
      </c>
      <c r="BY11" s="23">
        <v>14268</v>
      </c>
      <c r="BZ11" s="23">
        <v>14406</v>
      </c>
      <c r="CA11" s="23">
        <v>15055</v>
      </c>
      <c r="CB11" s="23">
        <v>15793</v>
      </c>
      <c r="CC11" s="23">
        <v>15976</v>
      </c>
      <c r="CD11" s="23">
        <v>9016</v>
      </c>
      <c r="CE11" s="23">
        <v>8184</v>
      </c>
      <c r="CF11" s="23">
        <v>11377</v>
      </c>
      <c r="CG11" s="23">
        <v>22277</v>
      </c>
      <c r="CH11" s="23">
        <v>18293</v>
      </c>
    </row>
    <row r="12" spans="1:86" x14ac:dyDescent="0.35">
      <c r="A12" s="25" t="s">
        <v>112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>
        <v>92</v>
      </c>
      <c r="AO12" s="23">
        <v>222</v>
      </c>
      <c r="AP12" s="23">
        <v>272</v>
      </c>
      <c r="AQ12" s="23">
        <v>237</v>
      </c>
      <c r="AR12" s="23">
        <v>491</v>
      </c>
      <c r="AS12" s="23">
        <v>494</v>
      </c>
      <c r="AT12" s="23">
        <v>518</v>
      </c>
      <c r="AU12" s="23">
        <v>581</v>
      </c>
      <c r="AV12" s="23">
        <v>547</v>
      </c>
      <c r="AW12" s="23">
        <v>572</v>
      </c>
      <c r="AX12" s="23">
        <v>594</v>
      </c>
      <c r="AY12" s="23">
        <v>563</v>
      </c>
      <c r="AZ12" s="23">
        <v>665</v>
      </c>
      <c r="BA12" s="23">
        <v>652</v>
      </c>
      <c r="BB12" s="23">
        <v>626</v>
      </c>
      <c r="BC12" s="23">
        <v>634</v>
      </c>
      <c r="BD12" s="23">
        <v>567</v>
      </c>
      <c r="BE12" s="23">
        <v>608</v>
      </c>
      <c r="BF12" s="23">
        <v>614</v>
      </c>
      <c r="BG12" s="23">
        <v>614</v>
      </c>
      <c r="BH12" s="23">
        <v>636</v>
      </c>
      <c r="BI12" s="23">
        <v>596</v>
      </c>
      <c r="BJ12" s="23">
        <v>518</v>
      </c>
      <c r="BK12" s="23">
        <v>522</v>
      </c>
      <c r="BL12" s="23">
        <v>567</v>
      </c>
      <c r="BM12" s="23">
        <v>506</v>
      </c>
      <c r="BN12" s="23">
        <v>566</v>
      </c>
      <c r="BO12" s="23">
        <v>610</v>
      </c>
      <c r="BP12" s="23">
        <v>607</v>
      </c>
      <c r="BQ12" s="23">
        <v>639</v>
      </c>
      <c r="BR12" s="23">
        <v>653</v>
      </c>
      <c r="BS12" s="23">
        <v>645</v>
      </c>
      <c r="BT12" s="23">
        <v>595</v>
      </c>
      <c r="BU12" s="23">
        <v>623</v>
      </c>
      <c r="BV12" s="23">
        <v>629</v>
      </c>
      <c r="BW12" s="23">
        <v>531</v>
      </c>
      <c r="BX12" s="23">
        <v>579</v>
      </c>
      <c r="BY12" s="23">
        <v>552</v>
      </c>
      <c r="BZ12" s="23">
        <v>440</v>
      </c>
      <c r="CA12" s="23">
        <v>429</v>
      </c>
      <c r="CB12" s="23">
        <v>384</v>
      </c>
      <c r="CC12" s="23">
        <v>217</v>
      </c>
      <c r="CD12" s="23">
        <v>301</v>
      </c>
      <c r="CE12" s="23">
        <v>286</v>
      </c>
      <c r="CF12" s="23">
        <v>180</v>
      </c>
      <c r="CG12" s="23">
        <v>295</v>
      </c>
      <c r="CH12" s="23">
        <v>243</v>
      </c>
    </row>
    <row r="13" spans="1:86" x14ac:dyDescent="0.35">
      <c r="A13" s="25" t="s">
        <v>113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>
        <v>20</v>
      </c>
      <c r="AR13" s="23">
        <v>30</v>
      </c>
      <c r="AS13" s="23">
        <v>29</v>
      </c>
      <c r="AT13" s="23">
        <v>39</v>
      </c>
      <c r="AU13" s="23">
        <v>40</v>
      </c>
      <c r="AV13" s="23">
        <v>40</v>
      </c>
      <c r="AW13" s="23">
        <v>48</v>
      </c>
      <c r="AX13" s="23">
        <v>48</v>
      </c>
      <c r="AY13" s="23">
        <v>47</v>
      </c>
      <c r="AZ13" s="23">
        <v>63</v>
      </c>
      <c r="BA13" s="23">
        <v>60</v>
      </c>
      <c r="BB13" s="23">
        <v>70</v>
      </c>
      <c r="BC13" s="23">
        <v>79</v>
      </c>
      <c r="BD13" s="23">
        <v>88</v>
      </c>
      <c r="BE13" s="23">
        <v>103</v>
      </c>
      <c r="BF13" s="23">
        <v>108</v>
      </c>
      <c r="BG13" s="23">
        <v>96</v>
      </c>
      <c r="BH13" s="23">
        <v>91</v>
      </c>
      <c r="BI13" s="23">
        <v>104</v>
      </c>
      <c r="BJ13" s="23">
        <v>101</v>
      </c>
      <c r="BK13" s="23">
        <v>113</v>
      </c>
      <c r="BL13" s="23">
        <v>95</v>
      </c>
      <c r="BM13" s="23">
        <v>90</v>
      </c>
      <c r="BN13" s="23">
        <v>91</v>
      </c>
      <c r="BO13" s="23">
        <v>91</v>
      </c>
      <c r="BP13" s="23">
        <v>81</v>
      </c>
      <c r="BQ13" s="23">
        <v>91</v>
      </c>
      <c r="BR13" s="23">
        <v>88</v>
      </c>
      <c r="BS13" s="23">
        <v>76</v>
      </c>
      <c r="BT13" s="23">
        <v>74</v>
      </c>
      <c r="BU13" s="23">
        <v>84</v>
      </c>
      <c r="BV13" s="23">
        <v>90</v>
      </c>
      <c r="BW13" s="23">
        <v>75</v>
      </c>
      <c r="BX13" s="23">
        <v>82</v>
      </c>
      <c r="BY13" s="23">
        <v>98</v>
      </c>
      <c r="BZ13" s="23">
        <v>111</v>
      </c>
      <c r="CA13" s="23">
        <v>114</v>
      </c>
      <c r="CB13" s="23">
        <v>115</v>
      </c>
      <c r="CC13" s="23">
        <v>117</v>
      </c>
      <c r="CD13" s="23">
        <v>112</v>
      </c>
      <c r="CE13" s="23">
        <v>128</v>
      </c>
      <c r="CF13" s="23">
        <v>124</v>
      </c>
      <c r="CG13" s="23">
        <v>95</v>
      </c>
      <c r="CH13" s="23">
        <v>107</v>
      </c>
    </row>
    <row r="14" spans="1:86" x14ac:dyDescent="0.35">
      <c r="A14" s="25" t="s">
        <v>114</v>
      </c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>
        <v>128</v>
      </c>
      <c r="AR14" s="23">
        <v>244</v>
      </c>
      <c r="AS14" s="23">
        <v>230</v>
      </c>
      <c r="AT14" s="23">
        <v>261</v>
      </c>
      <c r="AU14" s="23">
        <v>273</v>
      </c>
      <c r="AV14" s="23">
        <v>15</v>
      </c>
      <c r="AW14" s="23">
        <v>635</v>
      </c>
      <c r="AX14" s="23">
        <v>698</v>
      </c>
      <c r="AY14" s="23">
        <v>883</v>
      </c>
      <c r="AZ14" s="23">
        <v>818</v>
      </c>
      <c r="BA14" s="23">
        <v>810</v>
      </c>
      <c r="BB14" s="23">
        <v>818</v>
      </c>
      <c r="BC14" s="23">
        <v>826</v>
      </c>
      <c r="BD14" s="23">
        <v>807</v>
      </c>
      <c r="BE14" s="23">
        <v>867</v>
      </c>
      <c r="BF14" s="23">
        <v>313</v>
      </c>
      <c r="BG14" s="23">
        <v>71</v>
      </c>
      <c r="BH14" s="23"/>
      <c r="BI14" s="23">
        <v>11</v>
      </c>
      <c r="BJ14" s="23">
        <v>2</v>
      </c>
      <c r="BK14" s="23">
        <v>2</v>
      </c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>
        <v>413</v>
      </c>
      <c r="CG14" s="23">
        <v>1205</v>
      </c>
      <c r="CH14" s="23">
        <v>1405</v>
      </c>
    </row>
    <row r="15" spans="1:86" x14ac:dyDescent="0.35">
      <c r="A15" s="25" t="s">
        <v>115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>
        <v>143</v>
      </c>
      <c r="BA15" s="23">
        <v>254</v>
      </c>
      <c r="BB15" s="23">
        <v>295</v>
      </c>
      <c r="BC15" s="23">
        <v>229</v>
      </c>
      <c r="BD15" s="23">
        <v>48</v>
      </c>
      <c r="BE15" s="23">
        <v>211</v>
      </c>
      <c r="BF15" s="23">
        <v>34</v>
      </c>
      <c r="BG15" s="23">
        <v>1</v>
      </c>
      <c r="BH15" s="23"/>
      <c r="BI15" s="23"/>
      <c r="BJ15" s="23">
        <v>182</v>
      </c>
      <c r="BK15" s="23"/>
      <c r="BL15" s="23"/>
      <c r="BM15" s="23"/>
      <c r="BN15" s="23"/>
      <c r="BO15" s="23"/>
      <c r="BP15" s="23">
        <v>54</v>
      </c>
      <c r="BQ15" s="23">
        <v>452</v>
      </c>
      <c r="BR15" s="23">
        <v>333</v>
      </c>
      <c r="BS15" s="23">
        <v>447</v>
      </c>
      <c r="BT15" s="23">
        <v>476</v>
      </c>
      <c r="BU15" s="23">
        <v>501</v>
      </c>
      <c r="BV15" s="23">
        <v>497</v>
      </c>
      <c r="BW15" s="23">
        <v>410</v>
      </c>
      <c r="BX15" s="23">
        <v>436</v>
      </c>
      <c r="BY15" s="23">
        <v>496</v>
      </c>
      <c r="BZ15" s="23">
        <v>508</v>
      </c>
      <c r="CA15" s="23">
        <v>516</v>
      </c>
      <c r="CB15" s="23">
        <v>503</v>
      </c>
      <c r="CC15" s="23">
        <v>156</v>
      </c>
      <c r="CD15" s="23">
        <v>400</v>
      </c>
      <c r="CE15" s="23">
        <v>552</v>
      </c>
      <c r="CF15" s="23">
        <v>562</v>
      </c>
      <c r="CG15" s="23">
        <v>347</v>
      </c>
      <c r="CH15" s="23">
        <v>447</v>
      </c>
    </row>
    <row r="16" spans="1:86" x14ac:dyDescent="0.35">
      <c r="A16" s="25" t="s">
        <v>116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>
        <v>12</v>
      </c>
      <c r="AU16" s="23">
        <v>126</v>
      </c>
      <c r="AV16" s="23">
        <v>165</v>
      </c>
      <c r="AW16" s="23">
        <v>194</v>
      </c>
      <c r="AX16" s="23">
        <v>208</v>
      </c>
      <c r="AY16" s="23">
        <v>187</v>
      </c>
      <c r="AZ16" s="23">
        <v>218</v>
      </c>
      <c r="BA16" s="23">
        <v>260</v>
      </c>
      <c r="BB16" s="23">
        <v>271</v>
      </c>
      <c r="BC16" s="23">
        <v>276</v>
      </c>
      <c r="BD16" s="23">
        <v>301</v>
      </c>
      <c r="BE16" s="23">
        <v>306</v>
      </c>
      <c r="BF16" s="23">
        <v>315</v>
      </c>
      <c r="BG16" s="23">
        <v>316</v>
      </c>
      <c r="BH16" s="23">
        <v>290</v>
      </c>
      <c r="BI16" s="23">
        <v>374</v>
      </c>
      <c r="BJ16" s="23">
        <v>342</v>
      </c>
      <c r="BK16" s="23">
        <v>358</v>
      </c>
      <c r="BL16" s="23">
        <v>386</v>
      </c>
      <c r="BM16" s="23">
        <v>392</v>
      </c>
      <c r="BN16" s="23">
        <v>416</v>
      </c>
      <c r="BO16" s="23">
        <v>429</v>
      </c>
      <c r="BP16" s="23">
        <v>519</v>
      </c>
      <c r="BQ16" s="23">
        <v>581</v>
      </c>
      <c r="BR16" s="23">
        <v>595</v>
      </c>
      <c r="BS16" s="23">
        <v>576</v>
      </c>
      <c r="BT16" s="23">
        <v>580</v>
      </c>
      <c r="BU16" s="23">
        <v>593</v>
      </c>
      <c r="BV16" s="23">
        <v>614</v>
      </c>
      <c r="BW16" s="23">
        <v>539</v>
      </c>
      <c r="BX16" s="23">
        <v>569</v>
      </c>
      <c r="BY16" s="23">
        <v>574</v>
      </c>
      <c r="BZ16" s="23">
        <v>561</v>
      </c>
      <c r="CA16" s="23">
        <v>559</v>
      </c>
      <c r="CB16" s="23">
        <v>562</v>
      </c>
      <c r="CC16" s="23">
        <v>574</v>
      </c>
      <c r="CD16" s="23">
        <v>646</v>
      </c>
      <c r="CE16" s="23">
        <v>599</v>
      </c>
      <c r="CF16" s="23">
        <v>634</v>
      </c>
      <c r="CG16" s="23">
        <v>575</v>
      </c>
      <c r="CH16" s="23">
        <v>586</v>
      </c>
    </row>
    <row r="17" spans="1:86" x14ac:dyDescent="0.35">
      <c r="A17" s="25" t="s">
        <v>117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>
        <v>73</v>
      </c>
      <c r="AX17" s="23">
        <v>125</v>
      </c>
      <c r="AY17" s="23">
        <v>168</v>
      </c>
      <c r="AZ17" s="23">
        <v>122</v>
      </c>
      <c r="BA17" s="23">
        <v>123</v>
      </c>
      <c r="BB17" s="23">
        <v>157</v>
      </c>
      <c r="BC17" s="23">
        <v>153</v>
      </c>
      <c r="BD17" s="23">
        <v>152</v>
      </c>
      <c r="BE17" s="23">
        <v>165</v>
      </c>
      <c r="BF17" s="23">
        <v>48</v>
      </c>
      <c r="BG17" s="23">
        <v>-2</v>
      </c>
      <c r="BH17" s="23">
        <v>136</v>
      </c>
      <c r="BI17" s="23">
        <v>216</v>
      </c>
      <c r="BJ17" s="23">
        <v>184</v>
      </c>
      <c r="BK17" s="23">
        <v>179</v>
      </c>
      <c r="BL17" s="23">
        <v>181</v>
      </c>
      <c r="BM17" s="23">
        <v>184</v>
      </c>
      <c r="BN17" s="23">
        <v>189</v>
      </c>
      <c r="BO17" s="23">
        <v>189</v>
      </c>
      <c r="BP17" s="23">
        <v>197</v>
      </c>
      <c r="BQ17" s="23">
        <v>226</v>
      </c>
      <c r="BR17" s="23">
        <v>171</v>
      </c>
      <c r="BS17" s="23">
        <v>169</v>
      </c>
      <c r="BT17" s="23">
        <v>169</v>
      </c>
      <c r="BU17" s="23">
        <v>152</v>
      </c>
      <c r="BV17" s="23">
        <v>170</v>
      </c>
      <c r="BW17" s="23">
        <v>162</v>
      </c>
      <c r="BX17" s="23">
        <v>173</v>
      </c>
      <c r="BY17" s="23">
        <v>179</v>
      </c>
      <c r="BZ17" s="23">
        <v>202</v>
      </c>
      <c r="CA17" s="23">
        <v>225</v>
      </c>
      <c r="CB17" s="23">
        <v>223</v>
      </c>
      <c r="CC17" s="23">
        <v>226</v>
      </c>
      <c r="CD17" s="23">
        <v>219</v>
      </c>
      <c r="CE17" s="23">
        <v>242</v>
      </c>
      <c r="CF17" s="23">
        <v>245</v>
      </c>
      <c r="CG17" s="23">
        <v>205</v>
      </c>
      <c r="CH17" s="23">
        <v>208</v>
      </c>
    </row>
    <row r="18" spans="1:86" x14ac:dyDescent="0.35">
      <c r="A18" s="25" t="s">
        <v>118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>
        <v>899</v>
      </c>
      <c r="BP18" s="23">
        <v>891</v>
      </c>
      <c r="BQ18" s="23">
        <v>934</v>
      </c>
      <c r="BR18" s="23">
        <v>1140</v>
      </c>
      <c r="BS18" s="23">
        <v>951</v>
      </c>
      <c r="BT18" s="23">
        <v>937</v>
      </c>
      <c r="BU18" s="23">
        <v>932</v>
      </c>
      <c r="BV18" s="23">
        <v>939</v>
      </c>
      <c r="BW18" s="23">
        <v>947</v>
      </c>
      <c r="BX18" s="23">
        <v>1140</v>
      </c>
      <c r="BY18" s="23">
        <v>49</v>
      </c>
      <c r="BZ18" s="23">
        <v>4</v>
      </c>
      <c r="CA18" s="23">
        <v>3</v>
      </c>
      <c r="CB18" s="23">
        <v>3</v>
      </c>
      <c r="CC18" s="22"/>
      <c r="CD18" s="23"/>
      <c r="CE18" s="23">
        <v>2</v>
      </c>
      <c r="CF18" s="23">
        <v>1</v>
      </c>
      <c r="CG18" s="23">
        <v>11</v>
      </c>
      <c r="CH18" s="23">
        <v>9</v>
      </c>
    </row>
    <row r="19" spans="1:86" x14ac:dyDescent="0.35">
      <c r="A19" s="25" t="s">
        <v>119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>
        <v>74</v>
      </c>
      <c r="AY19" s="23">
        <v>99</v>
      </c>
      <c r="AZ19" s="23">
        <v>159</v>
      </c>
      <c r="BA19" s="23">
        <v>81</v>
      </c>
      <c r="BB19" s="23">
        <v>118</v>
      </c>
      <c r="BC19" s="23">
        <v>38</v>
      </c>
      <c r="BD19" s="23">
        <v>179</v>
      </c>
      <c r="BE19" s="23">
        <v>138</v>
      </c>
      <c r="BF19" s="23">
        <v>115</v>
      </c>
      <c r="BG19" s="23">
        <v>123</v>
      </c>
      <c r="BH19" s="23">
        <v>116</v>
      </c>
      <c r="BI19" s="23">
        <v>130</v>
      </c>
      <c r="BJ19" s="23">
        <v>133</v>
      </c>
      <c r="BK19" s="23">
        <v>112</v>
      </c>
      <c r="BL19" s="23">
        <v>109</v>
      </c>
      <c r="BM19" s="23">
        <v>138</v>
      </c>
      <c r="BN19" s="23">
        <v>142</v>
      </c>
      <c r="BO19" s="23">
        <v>123</v>
      </c>
      <c r="BP19" s="23">
        <v>184</v>
      </c>
      <c r="BQ19" s="23">
        <v>241</v>
      </c>
      <c r="BR19" s="23">
        <v>251</v>
      </c>
      <c r="BS19" s="23">
        <v>235</v>
      </c>
      <c r="BT19" s="23">
        <v>218</v>
      </c>
      <c r="BU19" s="23">
        <v>278</v>
      </c>
      <c r="BV19" s="23">
        <v>254</v>
      </c>
      <c r="BW19" s="23">
        <v>204</v>
      </c>
      <c r="BX19" s="23">
        <v>243</v>
      </c>
      <c r="BY19" s="23">
        <v>275</v>
      </c>
      <c r="BZ19" s="23">
        <v>291</v>
      </c>
      <c r="CA19" s="23">
        <v>270</v>
      </c>
      <c r="CB19" s="23">
        <v>309</v>
      </c>
      <c r="CC19" s="23">
        <v>280</v>
      </c>
      <c r="CD19" s="23">
        <v>310</v>
      </c>
      <c r="CE19" s="23">
        <v>313</v>
      </c>
      <c r="CF19" s="23">
        <v>333</v>
      </c>
      <c r="CG19" s="23">
        <v>220</v>
      </c>
      <c r="CH19" s="23">
        <v>242</v>
      </c>
    </row>
    <row r="20" spans="1:86" x14ac:dyDescent="0.35">
      <c r="A20" s="25" t="s">
        <v>120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>
        <v>1876</v>
      </c>
      <c r="BV20" s="23">
        <v>2808</v>
      </c>
      <c r="BW20" s="23">
        <v>3216</v>
      </c>
      <c r="BX20" s="23">
        <v>3209</v>
      </c>
      <c r="BY20" s="23">
        <v>2991</v>
      </c>
      <c r="BZ20" s="23">
        <v>2853</v>
      </c>
      <c r="CA20" s="23">
        <v>4147</v>
      </c>
      <c r="CB20" s="23">
        <v>4095</v>
      </c>
      <c r="CC20" s="23">
        <v>2437</v>
      </c>
      <c r="CD20" s="23">
        <v>3167</v>
      </c>
      <c r="CE20" s="23">
        <v>2790</v>
      </c>
      <c r="CF20" s="23">
        <v>2804</v>
      </c>
      <c r="CG20" s="23">
        <v>2797</v>
      </c>
      <c r="CH20" s="23">
        <v>2789</v>
      </c>
    </row>
    <row r="21" spans="1:86" x14ac:dyDescent="0.35">
      <c r="A21" s="25" t="s">
        <v>121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>
        <v>277</v>
      </c>
      <c r="BX21" s="23">
        <v>135</v>
      </c>
      <c r="BY21" s="23">
        <v>225</v>
      </c>
      <c r="BZ21" s="23">
        <v>315</v>
      </c>
      <c r="CA21" s="23">
        <v>294</v>
      </c>
      <c r="CB21" s="23">
        <v>319</v>
      </c>
      <c r="CC21" s="23">
        <v>431</v>
      </c>
      <c r="CD21" s="23">
        <v>266</v>
      </c>
      <c r="CE21" s="23">
        <v>327</v>
      </c>
      <c r="CF21" s="23">
        <v>360</v>
      </c>
      <c r="CG21" s="23">
        <v>379</v>
      </c>
      <c r="CH21" s="23">
        <v>443</v>
      </c>
    </row>
    <row r="22" spans="1:86" x14ac:dyDescent="0.35">
      <c r="A22" s="25" t="s">
        <v>97</v>
      </c>
      <c r="B22" s="23">
        <v>748</v>
      </c>
      <c r="C22" s="23">
        <v>1043</v>
      </c>
      <c r="D22" s="23">
        <v>1573</v>
      </c>
      <c r="E22" s="23">
        <v>1760</v>
      </c>
      <c r="F22" s="23">
        <v>2169</v>
      </c>
      <c r="G22" s="23">
        <v>3061</v>
      </c>
      <c r="H22" s="23">
        <v>3352</v>
      </c>
      <c r="I22" s="23">
        <v>3551</v>
      </c>
      <c r="J22" s="23">
        <v>3842</v>
      </c>
      <c r="K22" s="23">
        <v>4015</v>
      </c>
      <c r="L22" s="23">
        <v>4044</v>
      </c>
      <c r="M22" s="23">
        <v>4761</v>
      </c>
      <c r="N22" s="23">
        <v>4775</v>
      </c>
      <c r="O22" s="23">
        <v>5501</v>
      </c>
      <c r="P22" s="23">
        <v>5630</v>
      </c>
      <c r="Q22" s="23">
        <v>4874</v>
      </c>
      <c r="R22" s="23">
        <v>5455</v>
      </c>
      <c r="S22" s="23">
        <v>4472</v>
      </c>
      <c r="T22" s="23">
        <v>4002</v>
      </c>
      <c r="U22" s="23">
        <v>3767</v>
      </c>
      <c r="V22" s="23">
        <v>4084</v>
      </c>
      <c r="W22" s="23">
        <v>3931</v>
      </c>
      <c r="X22" s="23">
        <v>4295</v>
      </c>
      <c r="Y22" s="23">
        <v>4474</v>
      </c>
      <c r="Z22" s="23">
        <v>4664</v>
      </c>
      <c r="AA22" s="23">
        <v>5081</v>
      </c>
      <c r="AB22" s="23">
        <v>3358</v>
      </c>
      <c r="AC22" s="23">
        <v>3221</v>
      </c>
      <c r="AD22" s="23">
        <v>3391</v>
      </c>
      <c r="AE22" s="23">
        <v>4002</v>
      </c>
      <c r="AF22" s="23">
        <v>3613</v>
      </c>
      <c r="AG22" s="23">
        <v>3609</v>
      </c>
      <c r="AH22" s="23">
        <v>2297</v>
      </c>
      <c r="AI22" s="23">
        <v>2522</v>
      </c>
      <c r="AJ22" s="23">
        <v>2060</v>
      </c>
      <c r="AK22" s="23">
        <v>1850</v>
      </c>
      <c r="AL22" s="23">
        <v>2810</v>
      </c>
      <c r="AM22" s="23">
        <v>1960</v>
      </c>
      <c r="AN22" s="23">
        <v>2118</v>
      </c>
      <c r="AO22" s="23">
        <v>1785</v>
      </c>
      <c r="AP22" s="23">
        <v>585</v>
      </c>
      <c r="AQ22" s="23">
        <v>2689</v>
      </c>
      <c r="AR22" s="23">
        <v>2344</v>
      </c>
      <c r="AS22" s="23">
        <v>2258</v>
      </c>
      <c r="AT22" s="23">
        <v>1363</v>
      </c>
      <c r="AU22" s="23">
        <v>261</v>
      </c>
      <c r="AV22" s="23">
        <v>1046</v>
      </c>
      <c r="AW22" s="23">
        <v>1588</v>
      </c>
      <c r="AX22" s="23">
        <v>3250</v>
      </c>
      <c r="AY22" s="23">
        <v>317</v>
      </c>
      <c r="AZ22" s="23">
        <v>2460</v>
      </c>
      <c r="BA22" s="23">
        <v>0</v>
      </c>
      <c r="BB22" s="23">
        <v>1481</v>
      </c>
      <c r="BC22" s="23">
        <v>3550</v>
      </c>
      <c r="BD22" s="23">
        <v>4307</v>
      </c>
      <c r="BE22" s="23">
        <v>946</v>
      </c>
      <c r="BF22" s="23">
        <v>410</v>
      </c>
      <c r="BG22" s="23">
        <v>2921</v>
      </c>
      <c r="BH22" s="23">
        <v>3196</v>
      </c>
      <c r="BI22" s="23">
        <v>368</v>
      </c>
      <c r="BJ22" s="23">
        <v>717</v>
      </c>
      <c r="BK22" s="23">
        <v>2315</v>
      </c>
      <c r="BL22" s="23">
        <v>1336</v>
      </c>
      <c r="BM22" s="23">
        <v>1269</v>
      </c>
      <c r="BN22" s="23">
        <v>1157</v>
      </c>
      <c r="BO22" s="23">
        <v>1239</v>
      </c>
      <c r="BP22" s="23">
        <v>3755</v>
      </c>
      <c r="BQ22" s="23">
        <v>288</v>
      </c>
      <c r="BR22" s="23">
        <v>2883</v>
      </c>
      <c r="BS22" s="23">
        <v>319</v>
      </c>
      <c r="BT22" s="23">
        <v>1904</v>
      </c>
      <c r="BU22" s="23">
        <v>540</v>
      </c>
      <c r="BV22" s="23">
        <v>0</v>
      </c>
      <c r="BW22" s="23">
        <v>4507</v>
      </c>
      <c r="BX22" s="23">
        <v>1705</v>
      </c>
      <c r="BY22" s="23">
        <v>3121</v>
      </c>
      <c r="BZ22" s="23">
        <v>2359</v>
      </c>
      <c r="CA22" s="23">
        <v>369</v>
      </c>
      <c r="CB22" s="23">
        <v>3522</v>
      </c>
      <c r="CC22" s="23">
        <v>5972</v>
      </c>
      <c r="CD22" s="23">
        <v>0</v>
      </c>
      <c r="CE22" s="23">
        <v>1419</v>
      </c>
      <c r="CF22" s="23">
        <v>7351</v>
      </c>
      <c r="CG22" s="23">
        <v>0</v>
      </c>
      <c r="CH22" s="23">
        <v>23456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EEFAE-2E21-4AA5-996A-66EFB4512D83}">
  <dimension ref="A1:BL28"/>
  <sheetViews>
    <sheetView topLeftCell="BB1" workbookViewId="0">
      <selection activeCell="BN8" sqref="BN8"/>
    </sheetView>
  </sheetViews>
  <sheetFormatPr defaultColWidth="9.08984375" defaultRowHeight="14.5" x14ac:dyDescent="0.35"/>
  <cols>
    <col min="1" max="1" width="53.90625" style="19" customWidth="1"/>
    <col min="2" max="64" width="9.7265625" style="19" customWidth="1"/>
    <col min="65" max="16384" width="9.08984375" style="19"/>
  </cols>
  <sheetData>
    <row r="1" spans="1:64" ht="26.15" customHeight="1" x14ac:dyDescent="0.35">
      <c r="A1" s="26" t="s">
        <v>269</v>
      </c>
      <c r="B1" s="27" t="s">
        <v>32</v>
      </c>
      <c r="C1" s="27" t="s">
        <v>33</v>
      </c>
      <c r="D1" s="27" t="s">
        <v>34</v>
      </c>
      <c r="E1" s="27" t="s">
        <v>35</v>
      </c>
      <c r="F1" s="27" t="s">
        <v>36</v>
      </c>
      <c r="G1" s="27" t="s">
        <v>37</v>
      </c>
      <c r="H1" s="27" t="s">
        <v>38</v>
      </c>
      <c r="I1" s="27" t="s">
        <v>39</v>
      </c>
      <c r="J1" s="27" t="s">
        <v>40</v>
      </c>
      <c r="K1" s="27" t="s">
        <v>41</v>
      </c>
      <c r="L1" s="27" t="s">
        <v>42</v>
      </c>
      <c r="M1" s="27" t="s">
        <v>43</v>
      </c>
      <c r="N1" s="27" t="s">
        <v>44</v>
      </c>
      <c r="O1" s="27" t="s">
        <v>45</v>
      </c>
      <c r="P1" s="27" t="s">
        <v>46</v>
      </c>
      <c r="Q1" s="27" t="s">
        <v>47</v>
      </c>
      <c r="R1" s="27" t="s">
        <v>48</v>
      </c>
      <c r="S1" s="27" t="s">
        <v>49</v>
      </c>
      <c r="T1" s="27" t="s">
        <v>50</v>
      </c>
      <c r="U1" s="27" t="s">
        <v>51</v>
      </c>
      <c r="V1" s="27" t="s">
        <v>52</v>
      </c>
      <c r="W1" s="27" t="s">
        <v>53</v>
      </c>
      <c r="X1" s="27" t="s">
        <v>54</v>
      </c>
      <c r="Y1" s="27" t="s">
        <v>55</v>
      </c>
      <c r="Z1" s="27" t="s">
        <v>56</v>
      </c>
      <c r="AA1" s="27" t="s">
        <v>57</v>
      </c>
      <c r="AB1" s="27" t="s">
        <v>58</v>
      </c>
      <c r="AC1" s="27" t="s">
        <v>59</v>
      </c>
      <c r="AD1" s="27" t="s">
        <v>60</v>
      </c>
      <c r="AE1" s="27" t="s">
        <v>61</v>
      </c>
      <c r="AF1" s="27" t="s">
        <v>62</v>
      </c>
      <c r="AG1" s="27" t="s">
        <v>63</v>
      </c>
      <c r="AH1" s="27" t="s">
        <v>64</v>
      </c>
      <c r="AI1" s="27" t="s">
        <v>65</v>
      </c>
      <c r="AJ1" s="27" t="s">
        <v>66</v>
      </c>
      <c r="AK1" s="27" t="s">
        <v>67</v>
      </c>
      <c r="AL1" s="27" t="s">
        <v>68</v>
      </c>
      <c r="AM1" s="27" t="s">
        <v>69</v>
      </c>
      <c r="AN1" s="27" t="s">
        <v>70</v>
      </c>
      <c r="AO1" s="27" t="s">
        <v>71</v>
      </c>
      <c r="AP1" s="27" t="s">
        <v>72</v>
      </c>
      <c r="AQ1" s="27" t="s">
        <v>73</v>
      </c>
      <c r="AR1" s="27" t="s">
        <v>74</v>
      </c>
      <c r="AS1" s="27" t="s">
        <v>75</v>
      </c>
      <c r="AT1" s="27" t="s">
        <v>76</v>
      </c>
      <c r="AU1" s="27" t="s">
        <v>77</v>
      </c>
      <c r="AV1" s="27" t="s">
        <v>78</v>
      </c>
      <c r="AW1" s="27" t="s">
        <v>79</v>
      </c>
      <c r="AX1" s="27" t="s">
        <v>80</v>
      </c>
      <c r="AY1" s="27" t="s">
        <v>81</v>
      </c>
      <c r="AZ1" s="27" t="s">
        <v>82</v>
      </c>
      <c r="BA1" s="27" t="s">
        <v>83</v>
      </c>
      <c r="BB1" s="27" t="s">
        <v>84</v>
      </c>
      <c r="BC1" s="27" t="s">
        <v>85</v>
      </c>
      <c r="BD1" s="27" t="s">
        <v>86</v>
      </c>
      <c r="BE1" s="27" t="s">
        <v>87</v>
      </c>
      <c r="BF1" s="27" t="s">
        <v>88</v>
      </c>
      <c r="BG1" s="27" t="s">
        <v>89</v>
      </c>
      <c r="BH1" s="27" t="s">
        <v>90</v>
      </c>
      <c r="BI1" s="27" t="s">
        <v>91</v>
      </c>
      <c r="BJ1" s="27" t="s">
        <v>92</v>
      </c>
      <c r="BK1" s="27" t="s">
        <v>93</v>
      </c>
      <c r="BL1" s="27" t="s">
        <v>94</v>
      </c>
    </row>
    <row r="2" spans="1:64" ht="14.15" customHeight="1" x14ac:dyDescent="0.35">
      <c r="A2" s="46" t="s">
        <v>253</v>
      </c>
      <c r="B2" s="36">
        <v>52345</v>
      </c>
      <c r="C2" s="36">
        <v>53400</v>
      </c>
      <c r="D2" s="36">
        <v>54757</v>
      </c>
      <c r="E2" s="36">
        <v>50620</v>
      </c>
      <c r="F2" s="36">
        <v>58111</v>
      </c>
      <c r="G2" s="36">
        <v>71417</v>
      </c>
      <c r="H2" s="36">
        <v>81926</v>
      </c>
      <c r="I2" s="36">
        <v>82497</v>
      </c>
      <c r="J2" s="36">
        <v>81692</v>
      </c>
      <c r="K2" s="36">
        <v>78872</v>
      </c>
      <c r="L2" s="36">
        <v>79174</v>
      </c>
      <c r="M2" s="36">
        <v>76681</v>
      </c>
      <c r="N2" s="36">
        <v>79347</v>
      </c>
      <c r="O2" s="36">
        <v>86509</v>
      </c>
      <c r="P2" s="36">
        <v>89619</v>
      </c>
      <c r="Q2" s="36">
        <v>97241</v>
      </c>
      <c r="R2" s="36">
        <v>104495</v>
      </c>
      <c r="S2" s="36">
        <v>116342</v>
      </c>
      <c r="T2" s="36">
        <v>133995</v>
      </c>
      <c r="U2" s="36">
        <v>157513</v>
      </c>
      <c r="V2" s="36">
        <v>185309</v>
      </c>
      <c r="W2" s="36">
        <v>209903</v>
      </c>
      <c r="X2" s="36">
        <v>227411</v>
      </c>
      <c r="Y2" s="36">
        <v>252743</v>
      </c>
      <c r="Z2" s="36">
        <v>273373</v>
      </c>
      <c r="AA2" s="36">
        <v>281996</v>
      </c>
      <c r="AB2" s="36">
        <v>290360</v>
      </c>
      <c r="AC2" s="36">
        <v>303555</v>
      </c>
      <c r="AD2" s="36">
        <v>299321</v>
      </c>
      <c r="AE2" s="36">
        <v>273285</v>
      </c>
      <c r="AF2" s="36">
        <v>298346</v>
      </c>
      <c r="AG2" s="36">
        <v>291084</v>
      </c>
      <c r="AH2" s="36">
        <v>281640</v>
      </c>
      <c r="AI2" s="36">
        <v>272063</v>
      </c>
      <c r="AJ2" s="36">
        <v>265748</v>
      </c>
      <c r="AK2" s="36">
        <v>270502</v>
      </c>
      <c r="AL2" s="36">
        <v>268194</v>
      </c>
      <c r="AM2" s="36">
        <v>274769</v>
      </c>
      <c r="AN2" s="36">
        <v>294363</v>
      </c>
      <c r="AO2" s="36">
        <v>304732</v>
      </c>
      <c r="AP2" s="36">
        <v>348456</v>
      </c>
      <c r="AQ2" s="36">
        <v>404733</v>
      </c>
      <c r="AR2" s="36">
        <v>455813</v>
      </c>
      <c r="AS2" s="36">
        <v>495294</v>
      </c>
      <c r="AT2" s="36">
        <v>521820</v>
      </c>
      <c r="AU2" s="36">
        <v>551258</v>
      </c>
      <c r="AV2" s="36">
        <v>616066</v>
      </c>
      <c r="AW2" s="36">
        <v>661012</v>
      </c>
      <c r="AX2" s="36">
        <v>693485</v>
      </c>
      <c r="AY2" s="36">
        <v>705554</v>
      </c>
      <c r="AZ2" s="36">
        <v>677852</v>
      </c>
      <c r="BA2" s="36">
        <v>633446</v>
      </c>
      <c r="BB2" s="36">
        <v>603457</v>
      </c>
      <c r="BC2" s="36">
        <v>589659</v>
      </c>
      <c r="BD2" s="36">
        <v>593372</v>
      </c>
      <c r="BE2" s="36">
        <v>598723</v>
      </c>
      <c r="BF2" s="36">
        <v>631251</v>
      </c>
      <c r="BG2" s="36">
        <v>685707</v>
      </c>
      <c r="BH2" s="36">
        <v>724588</v>
      </c>
      <c r="BI2" s="34">
        <v>753897</v>
      </c>
      <c r="BJ2" s="34">
        <v>765649</v>
      </c>
      <c r="BK2" s="34">
        <v>820263</v>
      </c>
      <c r="BL2" s="34">
        <v>873523</v>
      </c>
    </row>
    <row r="3" spans="1:64" ht="14.15" customHeight="1" x14ac:dyDescent="0.35">
      <c r="A3" s="47" t="s">
        <v>275</v>
      </c>
      <c r="B3" s="36">
        <f>B2+B22</f>
        <v>57973</v>
      </c>
      <c r="C3" s="36">
        <f t="shared" ref="C3:BL3" si="0">C2+C22</f>
        <v>58921</v>
      </c>
      <c r="D3" s="36">
        <f t="shared" si="0"/>
        <v>60439</v>
      </c>
      <c r="E3" s="36">
        <f t="shared" si="0"/>
        <v>56343</v>
      </c>
      <c r="F3" s="36">
        <f t="shared" si="0"/>
        <v>64034</v>
      </c>
      <c r="G3" s="36">
        <f t="shared" si="0"/>
        <v>78160</v>
      </c>
      <c r="H3" s="36">
        <f t="shared" si="0"/>
        <v>88968</v>
      </c>
      <c r="I3" s="36">
        <f t="shared" si="0"/>
        <v>90139</v>
      </c>
      <c r="J3" s="36">
        <f t="shared" si="0"/>
        <v>90371</v>
      </c>
      <c r="K3" s="36">
        <f t="shared" si="0"/>
        <v>88650</v>
      </c>
      <c r="L3" s="36">
        <f t="shared" si="0"/>
        <v>89906</v>
      </c>
      <c r="M3" s="36">
        <f t="shared" si="0"/>
        <v>88696</v>
      </c>
      <c r="N3" s="36">
        <f t="shared" si="0"/>
        <v>92735</v>
      </c>
      <c r="O3" s="36">
        <f t="shared" si="0"/>
        <v>103108</v>
      </c>
      <c r="P3" s="36">
        <f t="shared" si="0"/>
        <v>108052</v>
      </c>
      <c r="Q3" s="36">
        <f t="shared" si="0"/>
        <v>115279</v>
      </c>
      <c r="R3" s="36">
        <f t="shared" si="0"/>
        <v>123473</v>
      </c>
      <c r="S3" s="36">
        <f t="shared" si="0"/>
        <v>136273</v>
      </c>
      <c r="T3" s="36">
        <f t="shared" si="0"/>
        <v>155180</v>
      </c>
      <c r="U3" s="36">
        <f t="shared" si="0"/>
        <v>180504</v>
      </c>
      <c r="V3" s="36">
        <f t="shared" si="0"/>
        <v>209267</v>
      </c>
      <c r="W3" s="36">
        <f t="shared" si="0"/>
        <v>234749</v>
      </c>
      <c r="X3" s="36">
        <f t="shared" si="0"/>
        <v>253012</v>
      </c>
      <c r="Y3" s="36">
        <f t="shared" si="0"/>
        <v>279024</v>
      </c>
      <c r="Z3" s="36">
        <f t="shared" si="0"/>
        <v>299716</v>
      </c>
      <c r="AA3" s="36">
        <f t="shared" si="0"/>
        <v>308757</v>
      </c>
      <c r="AB3" s="36">
        <f t="shared" si="0"/>
        <v>319769</v>
      </c>
      <c r="AC3" s="36">
        <f t="shared" si="0"/>
        <v>333593</v>
      </c>
      <c r="AD3" s="36">
        <f t="shared" si="0"/>
        <v>328409</v>
      </c>
      <c r="AE3" s="36">
        <f t="shared" si="0"/>
        <v>304604</v>
      </c>
      <c r="AF3" s="36">
        <f t="shared" si="0"/>
        <v>332458</v>
      </c>
      <c r="AG3" s="36">
        <f t="shared" si="0"/>
        <v>326774</v>
      </c>
      <c r="AH3" s="36">
        <f t="shared" si="0"/>
        <v>319257</v>
      </c>
      <c r="AI3" s="36">
        <f t="shared" si="0"/>
        <v>309973</v>
      </c>
      <c r="AJ3" s="36">
        <f t="shared" si="0"/>
        <v>302751</v>
      </c>
      <c r="AK3" s="36">
        <f t="shared" si="0"/>
        <v>309834</v>
      </c>
      <c r="AL3" s="36">
        <f t="shared" si="0"/>
        <v>309987</v>
      </c>
      <c r="AM3" s="36">
        <f t="shared" si="0"/>
        <v>317985</v>
      </c>
      <c r="AN3" s="36">
        <f t="shared" si="0"/>
        <v>341403</v>
      </c>
      <c r="AO3" s="36">
        <f t="shared" si="0"/>
        <v>349756</v>
      </c>
      <c r="AP3" s="36">
        <f t="shared" si="0"/>
        <v>399435</v>
      </c>
      <c r="AQ3" s="36">
        <f t="shared" si="0"/>
        <v>461565</v>
      </c>
      <c r="AR3" s="36">
        <f t="shared" si="0"/>
        <v>515542</v>
      </c>
      <c r="AS3" s="36">
        <f t="shared" si="0"/>
        <v>565406</v>
      </c>
      <c r="AT3" s="36">
        <f t="shared" si="0"/>
        <v>591652</v>
      </c>
      <c r="AU3" s="36">
        <f t="shared" si="0"/>
        <v>624086</v>
      </c>
      <c r="AV3" s="36">
        <f t="shared" si="0"/>
        <v>700777</v>
      </c>
      <c r="AW3" s="36">
        <f t="shared" si="0"/>
        <v>756557</v>
      </c>
      <c r="AX3" s="36">
        <f t="shared" si="0"/>
        <v>801963</v>
      </c>
      <c r="AY3" s="36">
        <f t="shared" si="0"/>
        <v>832823</v>
      </c>
      <c r="AZ3" s="36">
        <f t="shared" si="0"/>
        <v>802531</v>
      </c>
      <c r="BA3" s="36">
        <f t="shared" si="0"/>
        <v>772484</v>
      </c>
      <c r="BB3" s="36">
        <f t="shared" si="0"/>
        <v>753078</v>
      </c>
      <c r="BC3" s="36">
        <f t="shared" si="0"/>
        <v>749440</v>
      </c>
      <c r="BD3" s="36">
        <f t="shared" si="0"/>
        <v>767929</v>
      </c>
      <c r="BE3" s="36">
        <f t="shared" si="0"/>
        <v>775307</v>
      </c>
      <c r="BF3" s="36">
        <f t="shared" si="0"/>
        <v>810146</v>
      </c>
      <c r="BG3" s="36">
        <f t="shared" si="0"/>
        <v>885550</v>
      </c>
      <c r="BH3" s="36">
        <f t="shared" si="0"/>
        <v>943243</v>
      </c>
      <c r="BI3" s="36">
        <f t="shared" si="0"/>
        <v>988179</v>
      </c>
      <c r="BJ3" s="36">
        <f t="shared" si="0"/>
        <v>1040053</v>
      </c>
      <c r="BK3" s="36">
        <f t="shared" si="0"/>
        <v>1121863</v>
      </c>
      <c r="BL3" s="36">
        <f t="shared" si="0"/>
        <v>1199160</v>
      </c>
    </row>
    <row r="4" spans="1:64" ht="14.15" customHeight="1" x14ac:dyDescent="0.35">
      <c r="A4" s="31" t="s">
        <v>254</v>
      </c>
      <c r="B4" s="36">
        <v>5639</v>
      </c>
      <c r="C4" s="36">
        <v>5308</v>
      </c>
      <c r="D4" s="36">
        <v>4945</v>
      </c>
      <c r="E4" s="36">
        <v>5273</v>
      </c>
      <c r="F4" s="36">
        <v>5580</v>
      </c>
      <c r="G4" s="36">
        <v>5566</v>
      </c>
      <c r="H4" s="36">
        <v>5301</v>
      </c>
      <c r="I4" s="36">
        <v>4600</v>
      </c>
      <c r="J4" s="36">
        <v>4330</v>
      </c>
      <c r="K4" s="36">
        <v>4159</v>
      </c>
      <c r="L4" s="36">
        <v>4781</v>
      </c>
      <c r="M4" s="36">
        <v>4149</v>
      </c>
      <c r="N4" s="36">
        <v>5710</v>
      </c>
      <c r="O4" s="36">
        <v>7097</v>
      </c>
      <c r="P4" s="36">
        <v>6433</v>
      </c>
      <c r="Q4" s="36">
        <v>6353</v>
      </c>
      <c r="R4" s="36">
        <v>7482</v>
      </c>
      <c r="S4" s="36">
        <v>7459</v>
      </c>
      <c r="T4" s="36">
        <v>12714</v>
      </c>
      <c r="U4" s="36">
        <v>13104</v>
      </c>
      <c r="V4" s="36">
        <v>12300</v>
      </c>
      <c r="W4" s="36">
        <v>11848</v>
      </c>
      <c r="X4" s="36">
        <v>15869</v>
      </c>
      <c r="Y4" s="36">
        <v>16169</v>
      </c>
      <c r="Z4" s="36">
        <v>14146</v>
      </c>
      <c r="AA4" s="36">
        <v>11645</v>
      </c>
      <c r="AB4" s="36">
        <v>10466</v>
      </c>
      <c r="AC4" s="36">
        <v>9583</v>
      </c>
      <c r="AD4" s="36">
        <v>13758</v>
      </c>
      <c r="AE4" s="36">
        <v>15846</v>
      </c>
      <c r="AF4" s="36">
        <v>16090</v>
      </c>
      <c r="AG4" s="36">
        <v>17218</v>
      </c>
      <c r="AH4" s="36">
        <v>17067</v>
      </c>
      <c r="AI4" s="36">
        <v>16429</v>
      </c>
      <c r="AJ4" s="36">
        <v>13487</v>
      </c>
      <c r="AK4" s="36">
        <v>15173</v>
      </c>
      <c r="AL4" s="36">
        <v>13054</v>
      </c>
      <c r="AM4" s="36">
        <v>15239</v>
      </c>
      <c r="AN4" s="36">
        <v>17213</v>
      </c>
      <c r="AO4" s="36">
        <v>16485</v>
      </c>
      <c r="AP4" s="36">
        <v>22315</v>
      </c>
      <c r="AQ4" s="36">
        <v>21199</v>
      </c>
      <c r="AR4" s="36">
        <v>26870</v>
      </c>
      <c r="AS4" s="36">
        <v>34565</v>
      </c>
      <c r="AT4" s="36">
        <v>29499</v>
      </c>
      <c r="AU4" s="36">
        <v>28482</v>
      </c>
      <c r="AV4" s="36">
        <v>28857</v>
      </c>
      <c r="AW4" s="36">
        <v>37529</v>
      </c>
      <c r="AX4" s="36">
        <v>45195</v>
      </c>
      <c r="AY4" s="36">
        <v>45685</v>
      </c>
      <c r="AZ4" s="36">
        <v>36802</v>
      </c>
      <c r="BA4" s="36">
        <v>46464</v>
      </c>
      <c r="BB4" s="36">
        <v>46879</v>
      </c>
      <c r="BC4" s="36">
        <v>52040</v>
      </c>
      <c r="BD4" s="36">
        <v>45306</v>
      </c>
      <c r="BE4" s="36">
        <v>46308</v>
      </c>
      <c r="BF4" s="36">
        <v>48875</v>
      </c>
      <c r="BG4" s="36">
        <v>53035</v>
      </c>
      <c r="BH4" s="36">
        <v>67722</v>
      </c>
      <c r="BI4" s="34">
        <v>46951</v>
      </c>
      <c r="BJ4" s="34">
        <v>71873</v>
      </c>
      <c r="BK4" s="34">
        <v>69313</v>
      </c>
      <c r="BL4" s="34">
        <v>72000</v>
      </c>
    </row>
    <row r="5" spans="1:64" ht="14.15" customHeight="1" x14ac:dyDescent="0.35">
      <c r="A5" s="44" t="s">
        <v>255</v>
      </c>
      <c r="B5" s="36">
        <v>1723</v>
      </c>
      <c r="C5" s="36">
        <v>3051</v>
      </c>
      <c r="D5" s="36">
        <v>4897</v>
      </c>
      <c r="E5" s="36">
        <v>5823</v>
      </c>
      <c r="F5" s="36">
        <v>6717</v>
      </c>
      <c r="G5" s="36">
        <v>6233</v>
      </c>
      <c r="H5" s="36">
        <v>5524</v>
      </c>
      <c r="I5" s="36">
        <v>5020</v>
      </c>
      <c r="J5" s="36">
        <v>4511</v>
      </c>
      <c r="K5" s="36">
        <v>4182</v>
      </c>
      <c r="L5" s="36">
        <v>4175</v>
      </c>
      <c r="M5" s="36">
        <v>4032</v>
      </c>
      <c r="N5" s="36">
        <v>3980</v>
      </c>
      <c r="O5" s="36">
        <v>3991</v>
      </c>
      <c r="P5" s="36">
        <v>4373</v>
      </c>
      <c r="Q5" s="36">
        <v>4736</v>
      </c>
      <c r="R5" s="36">
        <v>4926</v>
      </c>
      <c r="S5" s="36">
        <v>5234</v>
      </c>
      <c r="T5" s="36">
        <v>5831</v>
      </c>
      <c r="U5" s="36">
        <v>6468</v>
      </c>
      <c r="V5" s="36">
        <v>7199</v>
      </c>
      <c r="W5" s="36">
        <v>7934</v>
      </c>
      <c r="X5" s="36">
        <v>8311</v>
      </c>
      <c r="Y5" s="36">
        <v>8622</v>
      </c>
      <c r="Z5" s="36">
        <v>8962</v>
      </c>
      <c r="AA5" s="36">
        <v>9200</v>
      </c>
      <c r="AB5" s="36">
        <v>10820</v>
      </c>
      <c r="AC5" s="36">
        <v>12821</v>
      </c>
      <c r="AD5" s="36">
        <v>14426</v>
      </c>
      <c r="AE5" s="36">
        <v>16092</v>
      </c>
      <c r="AF5" s="36">
        <v>16389</v>
      </c>
      <c r="AG5" s="36">
        <v>17006</v>
      </c>
      <c r="AH5" s="36">
        <v>16189</v>
      </c>
      <c r="AI5" s="36">
        <v>16692</v>
      </c>
      <c r="AJ5" s="36">
        <v>16684</v>
      </c>
      <c r="AK5" s="36">
        <v>17136</v>
      </c>
      <c r="AL5" s="36">
        <v>18172</v>
      </c>
      <c r="AM5" s="36">
        <v>18084</v>
      </c>
      <c r="AN5" s="36">
        <v>18594</v>
      </c>
      <c r="AO5" s="36">
        <v>19753</v>
      </c>
      <c r="AP5" s="36">
        <v>20734</v>
      </c>
      <c r="AQ5" s="36">
        <v>20831</v>
      </c>
      <c r="AR5" s="36">
        <v>23029</v>
      </c>
      <c r="AS5" s="36">
        <v>23597</v>
      </c>
      <c r="AT5" s="36">
        <v>23584</v>
      </c>
      <c r="AU5" s="36">
        <v>24407</v>
      </c>
      <c r="AV5" s="36">
        <v>26773</v>
      </c>
      <c r="AW5" s="36">
        <v>28417</v>
      </c>
      <c r="AX5" s="36">
        <v>30100</v>
      </c>
      <c r="AY5" s="36">
        <v>29466</v>
      </c>
      <c r="AZ5" s="36">
        <v>29060</v>
      </c>
      <c r="BA5" s="36">
        <v>28908</v>
      </c>
      <c r="BB5" s="36">
        <v>28570</v>
      </c>
      <c r="BC5" s="36">
        <v>29412</v>
      </c>
      <c r="BD5" s="36">
        <v>30174</v>
      </c>
      <c r="BE5" s="36">
        <v>30398</v>
      </c>
      <c r="BF5" s="36">
        <v>31536</v>
      </c>
      <c r="BG5" s="36">
        <v>32414</v>
      </c>
      <c r="BH5" s="36">
        <v>34022</v>
      </c>
      <c r="BI5" s="34">
        <v>35534</v>
      </c>
      <c r="BJ5" s="34">
        <v>37404</v>
      </c>
      <c r="BK5" s="34">
        <v>41276</v>
      </c>
      <c r="BL5" s="34">
        <v>41476</v>
      </c>
    </row>
    <row r="6" spans="1:64" ht="14.15" customHeight="1" x14ac:dyDescent="0.35">
      <c r="A6" s="44" t="s">
        <v>256</v>
      </c>
      <c r="B6" s="36">
        <v>604</v>
      </c>
      <c r="C6" s="36">
        <v>530</v>
      </c>
      <c r="D6" s="36">
        <v>572</v>
      </c>
      <c r="E6" s="36">
        <v>699</v>
      </c>
      <c r="F6" s="36">
        <v>612</v>
      </c>
      <c r="G6" s="36">
        <v>782</v>
      </c>
      <c r="H6" s="36">
        <v>1037</v>
      </c>
      <c r="I6" s="36">
        <v>1010</v>
      </c>
      <c r="J6" s="36">
        <v>997</v>
      </c>
      <c r="K6" s="36">
        <v>1035</v>
      </c>
      <c r="L6" s="36">
        <v>1296</v>
      </c>
      <c r="M6" s="36">
        <v>1237</v>
      </c>
      <c r="N6" s="36">
        <v>1303</v>
      </c>
      <c r="O6" s="36">
        <v>2916</v>
      </c>
      <c r="P6" s="36">
        <v>4204</v>
      </c>
      <c r="Q6" s="36">
        <v>5770</v>
      </c>
      <c r="R6" s="36">
        <v>7991</v>
      </c>
      <c r="S6" s="36">
        <v>9179</v>
      </c>
      <c r="T6" s="36">
        <v>10156</v>
      </c>
      <c r="U6" s="36">
        <v>15166</v>
      </c>
      <c r="V6" s="36">
        <v>13527</v>
      </c>
      <c r="W6" s="36">
        <v>9353</v>
      </c>
      <c r="X6" s="36">
        <v>7073</v>
      </c>
      <c r="Y6" s="36">
        <v>5608</v>
      </c>
      <c r="Z6" s="36">
        <v>4690</v>
      </c>
      <c r="AA6" s="36">
        <v>4072</v>
      </c>
      <c r="AB6" s="36">
        <v>2296</v>
      </c>
      <c r="AC6" s="36">
        <v>2705</v>
      </c>
      <c r="AD6" s="36">
        <v>3341</v>
      </c>
      <c r="AE6" s="36">
        <v>2436</v>
      </c>
      <c r="AF6" s="36">
        <v>4499</v>
      </c>
      <c r="AG6" s="36">
        <v>4319</v>
      </c>
      <c r="AH6" s="36">
        <v>5218</v>
      </c>
      <c r="AI6" s="36">
        <v>4936</v>
      </c>
      <c r="AJ6" s="36">
        <v>2839</v>
      </c>
      <c r="AK6" s="36">
        <v>1475</v>
      </c>
      <c r="AL6" s="36">
        <v>1270</v>
      </c>
      <c r="AM6" s="36">
        <v>911</v>
      </c>
      <c r="AN6" s="36">
        <v>-761</v>
      </c>
      <c r="AO6" s="36">
        <v>9</v>
      </c>
      <c r="AP6" s="36">
        <v>475</v>
      </c>
      <c r="AQ6" s="36">
        <v>-725</v>
      </c>
      <c r="AR6" s="36">
        <v>-147</v>
      </c>
      <c r="AS6" s="36">
        <v>440</v>
      </c>
      <c r="AT6" s="36">
        <v>785</v>
      </c>
      <c r="AU6" s="36">
        <v>-852</v>
      </c>
      <c r="AV6" s="36">
        <v>631</v>
      </c>
      <c r="AW6" s="36">
        <v>4755</v>
      </c>
      <c r="AX6" s="36">
        <v>11618</v>
      </c>
      <c r="AY6" s="36">
        <v>12174</v>
      </c>
      <c r="AZ6" s="36">
        <v>14858</v>
      </c>
      <c r="BA6" s="36">
        <v>11042</v>
      </c>
      <c r="BB6" s="36">
        <v>5270</v>
      </c>
      <c r="BC6" s="36">
        <v>6841</v>
      </c>
      <c r="BD6" s="36">
        <v>3721</v>
      </c>
      <c r="BE6" s="36">
        <v>3856</v>
      </c>
      <c r="BF6" s="36">
        <v>2169</v>
      </c>
      <c r="BG6" s="36">
        <v>5041</v>
      </c>
      <c r="BH6" s="36">
        <v>7083</v>
      </c>
      <c r="BI6" s="34">
        <v>5977</v>
      </c>
      <c r="BJ6" s="34">
        <v>-9132</v>
      </c>
      <c r="BK6" s="34">
        <v>-406</v>
      </c>
      <c r="BL6" s="34">
        <v>13571</v>
      </c>
    </row>
    <row r="7" spans="1:64" ht="14.15" customHeight="1" x14ac:dyDescent="0.35">
      <c r="A7" s="44" t="s">
        <v>257</v>
      </c>
      <c r="B7" s="36">
        <v>2044</v>
      </c>
      <c r="C7" s="36">
        <v>2251</v>
      </c>
      <c r="D7" s="36">
        <v>2364</v>
      </c>
      <c r="E7" s="36">
        <v>2531</v>
      </c>
      <c r="F7" s="36">
        <v>2719</v>
      </c>
      <c r="G7" s="36">
        <v>2869</v>
      </c>
      <c r="H7" s="36">
        <v>2988</v>
      </c>
      <c r="I7" s="36">
        <v>2900</v>
      </c>
      <c r="J7" s="36">
        <v>3065</v>
      </c>
      <c r="K7" s="36">
        <v>3915</v>
      </c>
      <c r="L7" s="36">
        <v>4241</v>
      </c>
      <c r="M7" s="36">
        <v>4775</v>
      </c>
      <c r="N7" s="36">
        <v>5697</v>
      </c>
      <c r="O7" s="36">
        <v>7346</v>
      </c>
      <c r="P7" s="36">
        <v>8184</v>
      </c>
      <c r="Q7" s="36">
        <v>10032</v>
      </c>
      <c r="R7" s="36">
        <v>10983</v>
      </c>
      <c r="S7" s="36">
        <v>12135</v>
      </c>
      <c r="T7" s="36">
        <v>13858</v>
      </c>
      <c r="U7" s="36">
        <v>13568</v>
      </c>
      <c r="V7" s="36">
        <v>12998</v>
      </c>
      <c r="W7" s="36">
        <v>12672</v>
      </c>
      <c r="X7" s="36">
        <v>12586</v>
      </c>
      <c r="Y7" s="36">
        <v>13345</v>
      </c>
      <c r="Z7" s="36">
        <v>13628</v>
      </c>
      <c r="AA7" s="36">
        <v>13355</v>
      </c>
      <c r="AB7" s="36">
        <v>14601</v>
      </c>
      <c r="AC7" s="36">
        <v>16169</v>
      </c>
      <c r="AD7" s="36">
        <v>17055</v>
      </c>
      <c r="AE7" s="36">
        <v>18544</v>
      </c>
      <c r="AF7" s="36">
        <v>20001</v>
      </c>
      <c r="AG7" s="36">
        <v>20224</v>
      </c>
      <c r="AH7" s="36">
        <v>21000</v>
      </c>
      <c r="AI7" s="36">
        <v>21889</v>
      </c>
      <c r="AJ7" s="36">
        <v>21503</v>
      </c>
      <c r="AK7" s="36">
        <v>21201</v>
      </c>
      <c r="AL7" s="36">
        <v>22278</v>
      </c>
      <c r="AM7" s="36">
        <v>23943</v>
      </c>
      <c r="AN7" s="36">
        <v>25003</v>
      </c>
      <c r="AO7" s="36">
        <v>25532</v>
      </c>
      <c r="AP7" s="36">
        <v>29426</v>
      </c>
      <c r="AQ7" s="36">
        <v>29667</v>
      </c>
      <c r="AR7" s="36">
        <v>30694</v>
      </c>
      <c r="AS7" s="36">
        <v>27983</v>
      </c>
      <c r="AT7" s="36">
        <v>33025</v>
      </c>
      <c r="AU7" s="36">
        <v>31721</v>
      </c>
      <c r="AV7" s="36">
        <v>31820</v>
      </c>
      <c r="AW7" s="36">
        <v>35573</v>
      </c>
      <c r="AX7" s="36">
        <v>43667</v>
      </c>
      <c r="AY7" s="36">
        <v>45473</v>
      </c>
      <c r="AZ7" s="36">
        <v>41631</v>
      </c>
      <c r="BA7" s="36">
        <v>38145</v>
      </c>
      <c r="BB7" s="36">
        <v>36171</v>
      </c>
      <c r="BC7" s="36">
        <v>36033</v>
      </c>
      <c r="BD7" s="36">
        <v>39081</v>
      </c>
      <c r="BE7" s="36">
        <v>37896</v>
      </c>
      <c r="BF7" s="36">
        <v>39075</v>
      </c>
      <c r="BG7" s="36">
        <v>37836</v>
      </c>
      <c r="BH7" s="36">
        <v>42450</v>
      </c>
      <c r="BI7" s="34">
        <v>44151</v>
      </c>
      <c r="BJ7" s="34">
        <v>41384</v>
      </c>
      <c r="BK7" s="34">
        <v>47387</v>
      </c>
      <c r="BL7" s="34">
        <v>58469</v>
      </c>
    </row>
    <row r="8" spans="1:64" ht="14.15" customHeight="1" x14ac:dyDescent="0.35">
      <c r="A8" s="48" t="s">
        <v>273</v>
      </c>
      <c r="B8" s="36">
        <f>SUM(B5:B7)</f>
        <v>4371</v>
      </c>
      <c r="C8" s="36">
        <f t="shared" ref="C8:BL8" si="1">SUM(C5:C7)</f>
        <v>5832</v>
      </c>
      <c r="D8" s="36">
        <f t="shared" si="1"/>
        <v>7833</v>
      </c>
      <c r="E8" s="36">
        <f t="shared" si="1"/>
        <v>9053</v>
      </c>
      <c r="F8" s="36">
        <f t="shared" si="1"/>
        <v>10048</v>
      </c>
      <c r="G8" s="36">
        <f t="shared" si="1"/>
        <v>9884</v>
      </c>
      <c r="H8" s="36">
        <f t="shared" si="1"/>
        <v>9549</v>
      </c>
      <c r="I8" s="36">
        <f t="shared" si="1"/>
        <v>8930</v>
      </c>
      <c r="J8" s="36">
        <f t="shared" si="1"/>
        <v>8573</v>
      </c>
      <c r="K8" s="36">
        <f t="shared" si="1"/>
        <v>9132</v>
      </c>
      <c r="L8" s="36">
        <f t="shared" si="1"/>
        <v>9712</v>
      </c>
      <c r="M8" s="36">
        <f t="shared" si="1"/>
        <v>10044</v>
      </c>
      <c r="N8" s="36">
        <f t="shared" si="1"/>
        <v>10980</v>
      </c>
      <c r="O8" s="36">
        <f t="shared" si="1"/>
        <v>14253</v>
      </c>
      <c r="P8" s="36">
        <f t="shared" si="1"/>
        <v>16761</v>
      </c>
      <c r="Q8" s="36">
        <f t="shared" si="1"/>
        <v>20538</v>
      </c>
      <c r="R8" s="36">
        <f t="shared" si="1"/>
        <v>23900</v>
      </c>
      <c r="S8" s="36">
        <f t="shared" si="1"/>
        <v>26548</v>
      </c>
      <c r="T8" s="36">
        <f t="shared" si="1"/>
        <v>29845</v>
      </c>
      <c r="U8" s="36">
        <f t="shared" si="1"/>
        <v>35202</v>
      </c>
      <c r="V8" s="36">
        <f t="shared" si="1"/>
        <v>33724</v>
      </c>
      <c r="W8" s="36">
        <f t="shared" si="1"/>
        <v>29959</v>
      </c>
      <c r="X8" s="36">
        <f t="shared" si="1"/>
        <v>27970</v>
      </c>
      <c r="Y8" s="36">
        <f t="shared" si="1"/>
        <v>27575</v>
      </c>
      <c r="Z8" s="36">
        <f t="shared" si="1"/>
        <v>27280</v>
      </c>
      <c r="AA8" s="36">
        <f t="shared" si="1"/>
        <v>26627</v>
      </c>
      <c r="AB8" s="36">
        <f t="shared" si="1"/>
        <v>27717</v>
      </c>
      <c r="AC8" s="36">
        <f t="shared" si="1"/>
        <v>31695</v>
      </c>
      <c r="AD8" s="36">
        <f t="shared" si="1"/>
        <v>34822</v>
      </c>
      <c r="AE8" s="36">
        <f t="shared" si="1"/>
        <v>37072</v>
      </c>
      <c r="AF8" s="36">
        <f t="shared" si="1"/>
        <v>40889</v>
      </c>
      <c r="AG8" s="36">
        <f t="shared" si="1"/>
        <v>41549</v>
      </c>
      <c r="AH8" s="36">
        <f t="shared" si="1"/>
        <v>42407</v>
      </c>
      <c r="AI8" s="36">
        <f t="shared" si="1"/>
        <v>43517</v>
      </c>
      <c r="AJ8" s="36">
        <f t="shared" si="1"/>
        <v>41026</v>
      </c>
      <c r="AK8" s="36">
        <f t="shared" si="1"/>
        <v>39812</v>
      </c>
      <c r="AL8" s="36">
        <f t="shared" si="1"/>
        <v>41720</v>
      </c>
      <c r="AM8" s="36">
        <f t="shared" si="1"/>
        <v>42938</v>
      </c>
      <c r="AN8" s="36">
        <f t="shared" si="1"/>
        <v>42836</v>
      </c>
      <c r="AO8" s="36">
        <f t="shared" si="1"/>
        <v>45294</v>
      </c>
      <c r="AP8" s="36">
        <f t="shared" si="1"/>
        <v>50635</v>
      </c>
      <c r="AQ8" s="36">
        <f t="shared" si="1"/>
        <v>49773</v>
      </c>
      <c r="AR8" s="36">
        <f t="shared" si="1"/>
        <v>53576</v>
      </c>
      <c r="AS8" s="36">
        <f t="shared" si="1"/>
        <v>52020</v>
      </c>
      <c r="AT8" s="36">
        <f t="shared" si="1"/>
        <v>57394</v>
      </c>
      <c r="AU8" s="36">
        <f t="shared" si="1"/>
        <v>55276</v>
      </c>
      <c r="AV8" s="36">
        <f t="shared" si="1"/>
        <v>59224</v>
      </c>
      <c r="AW8" s="36">
        <f t="shared" si="1"/>
        <v>68745</v>
      </c>
      <c r="AX8" s="36">
        <f t="shared" si="1"/>
        <v>85385</v>
      </c>
      <c r="AY8" s="36">
        <f t="shared" si="1"/>
        <v>87113</v>
      </c>
      <c r="AZ8" s="36">
        <f t="shared" si="1"/>
        <v>85549</v>
      </c>
      <c r="BA8" s="36">
        <f t="shared" si="1"/>
        <v>78095</v>
      </c>
      <c r="BB8" s="36">
        <f t="shared" si="1"/>
        <v>70011</v>
      </c>
      <c r="BC8" s="36">
        <f t="shared" si="1"/>
        <v>72286</v>
      </c>
      <c r="BD8" s="36">
        <f t="shared" si="1"/>
        <v>72976</v>
      </c>
      <c r="BE8" s="36">
        <f t="shared" si="1"/>
        <v>72150</v>
      </c>
      <c r="BF8" s="36">
        <f t="shared" si="1"/>
        <v>72780</v>
      </c>
      <c r="BG8" s="36">
        <f t="shared" si="1"/>
        <v>75291</v>
      </c>
      <c r="BH8" s="36">
        <f t="shared" si="1"/>
        <v>83555</v>
      </c>
      <c r="BI8" s="36">
        <f t="shared" si="1"/>
        <v>85662</v>
      </c>
      <c r="BJ8" s="36">
        <f t="shared" si="1"/>
        <v>69656</v>
      </c>
      <c r="BK8" s="36">
        <f t="shared" si="1"/>
        <v>88257</v>
      </c>
      <c r="BL8" s="36">
        <f t="shared" si="1"/>
        <v>113516</v>
      </c>
    </row>
    <row r="9" spans="1:64" ht="14.15" customHeight="1" x14ac:dyDescent="0.35">
      <c r="A9" s="45" t="s">
        <v>258</v>
      </c>
      <c r="B9" s="36">
        <v>3562</v>
      </c>
      <c r="C9" s="36">
        <v>4384</v>
      </c>
      <c r="D9" s="36">
        <v>4609</v>
      </c>
      <c r="E9" s="36">
        <v>3954</v>
      </c>
      <c r="F9" s="36">
        <v>2447</v>
      </c>
      <c r="G9" s="36">
        <v>2990</v>
      </c>
      <c r="H9" s="36">
        <v>4544</v>
      </c>
      <c r="I9" s="36">
        <v>5826</v>
      </c>
      <c r="J9" s="36">
        <v>5166</v>
      </c>
      <c r="K9" s="36">
        <v>4290</v>
      </c>
      <c r="L9" s="36">
        <v>5227</v>
      </c>
      <c r="M9" s="36">
        <v>4821</v>
      </c>
      <c r="N9" s="36">
        <v>2194</v>
      </c>
      <c r="O9" s="36">
        <v>2997</v>
      </c>
      <c r="P9" s="36">
        <v>3109</v>
      </c>
      <c r="Q9" s="36">
        <v>6734</v>
      </c>
      <c r="R9" s="36">
        <v>11301</v>
      </c>
      <c r="S9" s="36">
        <v>11176</v>
      </c>
      <c r="T9" s="36">
        <v>8774</v>
      </c>
      <c r="U9" s="36">
        <v>11241</v>
      </c>
      <c r="V9" s="36">
        <v>15866</v>
      </c>
      <c r="W9" s="36">
        <v>22807</v>
      </c>
      <c r="X9" s="36">
        <v>13477</v>
      </c>
      <c r="Y9" s="36">
        <v>25427</v>
      </c>
      <c r="Z9" s="36">
        <v>31319</v>
      </c>
      <c r="AA9" s="36">
        <v>26466</v>
      </c>
      <c r="AB9" s="36">
        <v>17088</v>
      </c>
      <c r="AC9" s="36">
        <v>16698</v>
      </c>
      <c r="AD9" s="36">
        <v>11637</v>
      </c>
      <c r="AE9" s="36">
        <v>14886</v>
      </c>
      <c r="AF9" s="36">
        <v>14922</v>
      </c>
      <c r="AG9" s="36">
        <v>20081</v>
      </c>
      <c r="AH9" s="36">
        <v>14795</v>
      </c>
      <c r="AI9" s="36">
        <v>9671</v>
      </c>
      <c r="AJ9" s="36">
        <v>9035</v>
      </c>
      <c r="AK9" s="36">
        <v>8889</v>
      </c>
      <c r="AL9" s="36">
        <v>12077</v>
      </c>
      <c r="AM9" s="36">
        <v>22879</v>
      </c>
      <c r="AN9" s="36">
        <v>36458</v>
      </c>
      <c r="AO9" s="36">
        <v>26252</v>
      </c>
      <c r="AP9" s="36">
        <v>21965</v>
      </c>
      <c r="AQ9" s="36">
        <v>22496</v>
      </c>
      <c r="AR9" s="36">
        <v>15439</v>
      </c>
      <c r="AS9" s="36">
        <v>26565</v>
      </c>
      <c r="AT9" s="36">
        <v>25969</v>
      </c>
      <c r="AU9" s="36">
        <v>17662</v>
      </c>
      <c r="AV9" s="36">
        <v>18387</v>
      </c>
      <c r="AW9" s="36">
        <v>22237</v>
      </c>
      <c r="AX9" s="36">
        <v>21356</v>
      </c>
      <c r="AY9" s="36">
        <v>20662</v>
      </c>
      <c r="AZ9" s="36">
        <v>17791</v>
      </c>
      <c r="BA9" s="36">
        <v>29678</v>
      </c>
      <c r="BB9" s="36">
        <v>24386</v>
      </c>
      <c r="BC9" s="36">
        <v>18500</v>
      </c>
      <c r="BD9" s="36">
        <v>18344</v>
      </c>
      <c r="BE9" s="36">
        <v>18872</v>
      </c>
      <c r="BF9" s="36">
        <v>21789</v>
      </c>
      <c r="BG9" s="36">
        <v>38257</v>
      </c>
      <c r="BH9" s="36">
        <v>47298</v>
      </c>
      <c r="BI9" s="34">
        <v>47398</v>
      </c>
      <c r="BJ9" s="34">
        <v>33065</v>
      </c>
      <c r="BK9" s="34">
        <v>33651</v>
      </c>
      <c r="BL9" s="34">
        <v>32841</v>
      </c>
    </row>
    <row r="10" spans="1:64" ht="14.15" customHeight="1" x14ac:dyDescent="0.35">
      <c r="A10" s="56" t="s">
        <v>259</v>
      </c>
      <c r="B10" s="36">
        <v>1424</v>
      </c>
      <c r="C10" s="36">
        <v>62</v>
      </c>
      <c r="D10" s="36">
        <v>418</v>
      </c>
      <c r="E10" s="36">
        <v>1157</v>
      </c>
      <c r="F10" s="36">
        <v>3245</v>
      </c>
      <c r="G10" s="36">
        <v>3979</v>
      </c>
      <c r="H10" s="36">
        <v>4280</v>
      </c>
      <c r="I10" s="36">
        <v>0</v>
      </c>
      <c r="J10" s="36">
        <v>2112</v>
      </c>
      <c r="K10" s="36">
        <v>2366</v>
      </c>
      <c r="L10" s="36">
        <v>2222</v>
      </c>
      <c r="M10" s="36">
        <v>931</v>
      </c>
      <c r="N10" s="36">
        <v>4705</v>
      </c>
      <c r="O10" s="36">
        <v>9947</v>
      </c>
      <c r="P10" s="36">
        <v>7619</v>
      </c>
      <c r="Q10" s="36">
        <v>3093</v>
      </c>
      <c r="R10" s="36">
        <v>6254</v>
      </c>
      <c r="S10" s="36">
        <v>4686</v>
      </c>
      <c r="T10" s="36">
        <v>9390</v>
      </c>
      <c r="U10" s="36">
        <v>8206</v>
      </c>
      <c r="V10" s="36">
        <v>6256</v>
      </c>
      <c r="W10" s="36">
        <v>6681</v>
      </c>
      <c r="X10" s="36">
        <v>6959</v>
      </c>
      <c r="Y10" s="36">
        <v>4337</v>
      </c>
      <c r="Z10" s="36">
        <v>5058</v>
      </c>
      <c r="AA10" s="36">
        <v>6434</v>
      </c>
      <c r="AB10" s="36">
        <v>19163</v>
      </c>
      <c r="AC10" s="36">
        <v>29709</v>
      </c>
      <c r="AD10" s="36">
        <v>67599</v>
      </c>
      <c r="AE10" s="36">
        <v>76270</v>
      </c>
      <c r="AF10" s="36">
        <v>10918</v>
      </c>
      <c r="AG10" s="36">
        <v>0</v>
      </c>
      <c r="AH10" s="36">
        <v>0</v>
      </c>
      <c r="AI10" s="36">
        <v>0</v>
      </c>
      <c r="AJ10" s="36">
        <v>0</v>
      </c>
      <c r="AK10" s="36">
        <v>0</v>
      </c>
      <c r="AL10" s="36">
        <v>1007</v>
      </c>
      <c r="AM10" s="36">
        <v>2641</v>
      </c>
      <c r="AN10" s="36">
        <v>3207</v>
      </c>
      <c r="AO10" s="36">
        <v>5731</v>
      </c>
      <c r="AP10" s="36">
        <v>0</v>
      </c>
      <c r="AQ10" s="36">
        <v>727</v>
      </c>
      <c r="AR10" s="36">
        <v>5265</v>
      </c>
      <c r="AS10" s="36">
        <v>7566</v>
      </c>
      <c r="AT10" s="36">
        <v>6187</v>
      </c>
      <c r="AU10" s="36">
        <v>487</v>
      </c>
      <c r="AV10" s="36">
        <v>27870</v>
      </c>
      <c r="AW10" s="36">
        <v>291535</v>
      </c>
      <c r="AX10" s="36">
        <v>0</v>
      </c>
      <c r="AY10" s="36">
        <v>0</v>
      </c>
      <c r="AZ10" s="36">
        <v>40647</v>
      </c>
      <c r="BA10" s="36">
        <v>0</v>
      </c>
      <c r="BB10" s="36">
        <v>0</v>
      </c>
      <c r="BC10" s="36">
        <v>0</v>
      </c>
      <c r="BD10" s="36">
        <v>0</v>
      </c>
      <c r="BE10" s="36">
        <v>0</v>
      </c>
      <c r="BF10" s="36">
        <v>0</v>
      </c>
      <c r="BG10" s="36">
        <v>0</v>
      </c>
      <c r="BH10" s="36">
        <v>572071</v>
      </c>
      <c r="BI10" s="34">
        <v>307847</v>
      </c>
      <c r="BJ10" s="34">
        <v>0</v>
      </c>
      <c r="BK10" s="34">
        <v>100765</v>
      </c>
      <c r="BL10" s="34">
        <v>36032</v>
      </c>
    </row>
    <row r="11" spans="1:64" ht="14.15" customHeight="1" x14ac:dyDescent="0.35">
      <c r="A11" s="56" t="s">
        <v>110</v>
      </c>
      <c r="B11" s="36">
        <v>4290</v>
      </c>
      <c r="C11" s="36">
        <v>4596</v>
      </c>
      <c r="D11" s="36">
        <v>5242</v>
      </c>
      <c r="E11" s="36">
        <v>5763</v>
      </c>
      <c r="F11" s="36">
        <v>5730</v>
      </c>
      <c r="G11" s="36">
        <v>5936</v>
      </c>
      <c r="H11" s="36">
        <v>6316</v>
      </c>
      <c r="I11" s="36">
        <v>6526</v>
      </c>
      <c r="J11" s="36">
        <v>7008</v>
      </c>
      <c r="K11" s="36">
        <v>8052</v>
      </c>
      <c r="L11" s="36">
        <v>8392</v>
      </c>
      <c r="M11" s="36">
        <v>9066</v>
      </c>
      <c r="N11" s="36">
        <v>9172</v>
      </c>
      <c r="O11" s="36">
        <v>10918</v>
      </c>
      <c r="P11" s="36">
        <v>13739</v>
      </c>
      <c r="Q11" s="36">
        <v>14829</v>
      </c>
      <c r="R11" s="36">
        <v>15521</v>
      </c>
      <c r="S11" s="36">
        <v>18079</v>
      </c>
      <c r="T11" s="36">
        <v>21329</v>
      </c>
      <c r="U11" s="36">
        <v>23379</v>
      </c>
      <c r="V11" s="36">
        <v>20625</v>
      </c>
      <c r="W11" s="36">
        <v>21334</v>
      </c>
      <c r="X11" s="36">
        <v>23669</v>
      </c>
      <c r="Y11" s="36">
        <v>25838</v>
      </c>
      <c r="Z11" s="36">
        <v>28113</v>
      </c>
      <c r="AA11" s="36">
        <v>26222</v>
      </c>
      <c r="AB11" s="36">
        <v>27272</v>
      </c>
      <c r="AC11" s="36">
        <v>27608</v>
      </c>
      <c r="AD11" s="36">
        <v>29485</v>
      </c>
      <c r="AE11" s="36">
        <v>31099</v>
      </c>
      <c r="AF11" s="36">
        <v>33332</v>
      </c>
      <c r="AG11" s="36">
        <v>35004</v>
      </c>
      <c r="AH11" s="36">
        <v>38066</v>
      </c>
      <c r="AI11" s="36">
        <v>39350</v>
      </c>
      <c r="AJ11" s="36">
        <v>39565</v>
      </c>
      <c r="AK11" s="36">
        <v>40767</v>
      </c>
      <c r="AL11" s="36">
        <v>40343</v>
      </c>
      <c r="AM11" s="36">
        <v>42532</v>
      </c>
      <c r="AN11" s="36">
        <v>46853</v>
      </c>
      <c r="AO11" s="36">
        <v>54447</v>
      </c>
      <c r="AP11" s="36">
        <v>61833</v>
      </c>
      <c r="AQ11" s="36">
        <v>67069</v>
      </c>
      <c r="AR11" s="36">
        <v>64627</v>
      </c>
      <c r="AS11" s="36">
        <v>67894</v>
      </c>
      <c r="AT11" s="36">
        <v>70244</v>
      </c>
      <c r="AU11" s="36">
        <v>72905</v>
      </c>
      <c r="AV11" s="36">
        <v>77616</v>
      </c>
      <c r="AW11" s="36">
        <v>84289</v>
      </c>
      <c r="AX11" s="36">
        <v>91972</v>
      </c>
      <c r="AY11" s="36">
        <v>92966</v>
      </c>
      <c r="AZ11" s="36">
        <v>93019</v>
      </c>
      <c r="BA11" s="36">
        <v>91673</v>
      </c>
      <c r="BB11" s="36">
        <v>91915</v>
      </c>
      <c r="BC11" s="36">
        <v>89533</v>
      </c>
      <c r="BD11" s="36">
        <v>92566</v>
      </c>
      <c r="BE11" s="36">
        <v>93552</v>
      </c>
      <c r="BF11" s="36">
        <v>92785</v>
      </c>
      <c r="BG11" s="36">
        <v>95756</v>
      </c>
      <c r="BH11" s="36">
        <v>145623</v>
      </c>
      <c r="BI11" s="34">
        <v>154291</v>
      </c>
      <c r="BJ11" s="34">
        <v>131024</v>
      </c>
      <c r="BK11" s="34">
        <v>126417</v>
      </c>
      <c r="BL11" s="34">
        <v>136582</v>
      </c>
    </row>
    <row r="12" spans="1:64" ht="14.15" customHeight="1" x14ac:dyDescent="0.35">
      <c r="A12" s="57" t="s">
        <v>279</v>
      </c>
      <c r="B12" s="36">
        <f>SUM(B10:B11)</f>
        <v>5714</v>
      </c>
      <c r="C12" s="36">
        <f t="shared" ref="C12:BL12" si="2">SUM(C10:C11)</f>
        <v>4658</v>
      </c>
      <c r="D12" s="36">
        <f t="shared" si="2"/>
        <v>5660</v>
      </c>
      <c r="E12" s="36">
        <f t="shared" si="2"/>
        <v>6920</v>
      </c>
      <c r="F12" s="36">
        <f t="shared" si="2"/>
        <v>8975</v>
      </c>
      <c r="G12" s="36">
        <f t="shared" si="2"/>
        <v>9915</v>
      </c>
      <c r="H12" s="36">
        <f t="shared" si="2"/>
        <v>10596</v>
      </c>
      <c r="I12" s="36">
        <f t="shared" si="2"/>
        <v>6526</v>
      </c>
      <c r="J12" s="36">
        <f t="shared" si="2"/>
        <v>9120</v>
      </c>
      <c r="K12" s="36">
        <f t="shared" si="2"/>
        <v>10418</v>
      </c>
      <c r="L12" s="36">
        <f t="shared" si="2"/>
        <v>10614</v>
      </c>
      <c r="M12" s="36">
        <f t="shared" si="2"/>
        <v>9997</v>
      </c>
      <c r="N12" s="36">
        <f t="shared" si="2"/>
        <v>13877</v>
      </c>
      <c r="O12" s="36">
        <f t="shared" si="2"/>
        <v>20865</v>
      </c>
      <c r="P12" s="36">
        <f t="shared" si="2"/>
        <v>21358</v>
      </c>
      <c r="Q12" s="36">
        <f t="shared" si="2"/>
        <v>17922</v>
      </c>
      <c r="R12" s="36">
        <f t="shared" si="2"/>
        <v>21775</v>
      </c>
      <c r="S12" s="36">
        <f t="shared" si="2"/>
        <v>22765</v>
      </c>
      <c r="T12" s="36">
        <f t="shared" si="2"/>
        <v>30719</v>
      </c>
      <c r="U12" s="36">
        <f t="shared" si="2"/>
        <v>31585</v>
      </c>
      <c r="V12" s="36">
        <f t="shared" si="2"/>
        <v>26881</v>
      </c>
      <c r="W12" s="36">
        <f t="shared" si="2"/>
        <v>28015</v>
      </c>
      <c r="X12" s="36">
        <f t="shared" si="2"/>
        <v>30628</v>
      </c>
      <c r="Y12" s="36">
        <f t="shared" si="2"/>
        <v>30175</v>
      </c>
      <c r="Z12" s="36">
        <f t="shared" si="2"/>
        <v>33171</v>
      </c>
      <c r="AA12" s="36">
        <f t="shared" si="2"/>
        <v>32656</v>
      </c>
      <c r="AB12" s="36">
        <f t="shared" si="2"/>
        <v>46435</v>
      </c>
      <c r="AC12" s="36">
        <f t="shared" si="2"/>
        <v>57317</v>
      </c>
      <c r="AD12" s="36">
        <f t="shared" si="2"/>
        <v>97084</v>
      </c>
      <c r="AE12" s="36">
        <f t="shared" si="2"/>
        <v>107369</v>
      </c>
      <c r="AF12" s="36">
        <f t="shared" si="2"/>
        <v>44250</v>
      </c>
      <c r="AG12" s="36">
        <f t="shared" si="2"/>
        <v>35004</v>
      </c>
      <c r="AH12" s="36">
        <f t="shared" si="2"/>
        <v>38066</v>
      </c>
      <c r="AI12" s="36">
        <f t="shared" si="2"/>
        <v>39350</v>
      </c>
      <c r="AJ12" s="36">
        <f t="shared" si="2"/>
        <v>39565</v>
      </c>
      <c r="AK12" s="36">
        <f t="shared" si="2"/>
        <v>40767</v>
      </c>
      <c r="AL12" s="36">
        <f t="shared" si="2"/>
        <v>41350</v>
      </c>
      <c r="AM12" s="36">
        <f t="shared" si="2"/>
        <v>45173</v>
      </c>
      <c r="AN12" s="36">
        <f t="shared" si="2"/>
        <v>50060</v>
      </c>
      <c r="AO12" s="36">
        <f t="shared" si="2"/>
        <v>60178</v>
      </c>
      <c r="AP12" s="36">
        <f t="shared" si="2"/>
        <v>61833</v>
      </c>
      <c r="AQ12" s="36">
        <f t="shared" si="2"/>
        <v>67796</v>
      </c>
      <c r="AR12" s="36">
        <f t="shared" si="2"/>
        <v>69892</v>
      </c>
      <c r="AS12" s="36">
        <f t="shared" si="2"/>
        <v>75460</v>
      </c>
      <c r="AT12" s="36">
        <f t="shared" si="2"/>
        <v>76431</v>
      </c>
      <c r="AU12" s="36">
        <f t="shared" si="2"/>
        <v>73392</v>
      </c>
      <c r="AV12" s="36">
        <f t="shared" si="2"/>
        <v>105486</v>
      </c>
      <c r="AW12" s="36">
        <f t="shared" si="2"/>
        <v>375824</v>
      </c>
      <c r="AX12" s="36">
        <f t="shared" si="2"/>
        <v>91972</v>
      </c>
      <c r="AY12" s="36">
        <f t="shared" si="2"/>
        <v>92966</v>
      </c>
      <c r="AZ12" s="36">
        <f t="shared" si="2"/>
        <v>133666</v>
      </c>
      <c r="BA12" s="36">
        <f t="shared" si="2"/>
        <v>91673</v>
      </c>
      <c r="BB12" s="36">
        <f t="shared" si="2"/>
        <v>91915</v>
      </c>
      <c r="BC12" s="36">
        <f t="shared" si="2"/>
        <v>89533</v>
      </c>
      <c r="BD12" s="36">
        <f t="shared" si="2"/>
        <v>92566</v>
      </c>
      <c r="BE12" s="36">
        <f t="shared" si="2"/>
        <v>93552</v>
      </c>
      <c r="BF12" s="36">
        <f t="shared" si="2"/>
        <v>92785</v>
      </c>
      <c r="BG12" s="36">
        <f t="shared" si="2"/>
        <v>95756</v>
      </c>
      <c r="BH12" s="36">
        <f t="shared" si="2"/>
        <v>717694</v>
      </c>
      <c r="BI12" s="36">
        <f t="shared" si="2"/>
        <v>462138</v>
      </c>
      <c r="BJ12" s="36">
        <f t="shared" si="2"/>
        <v>131024</v>
      </c>
      <c r="BK12" s="36">
        <f t="shared" si="2"/>
        <v>227182</v>
      </c>
      <c r="BL12" s="36">
        <f t="shared" si="2"/>
        <v>172614</v>
      </c>
    </row>
    <row r="13" spans="1:64" ht="14.15" customHeight="1" x14ac:dyDescent="0.35">
      <c r="A13" s="45" t="s">
        <v>260</v>
      </c>
      <c r="B13" s="36">
        <v>469</v>
      </c>
      <c r="C13" s="36">
        <v>574</v>
      </c>
      <c r="D13" s="36">
        <v>933</v>
      </c>
      <c r="E13" s="36">
        <v>1114</v>
      </c>
      <c r="F13" s="36">
        <v>1105</v>
      </c>
      <c r="G13" s="36">
        <v>1108</v>
      </c>
      <c r="H13" s="36">
        <v>1382</v>
      </c>
      <c r="I13" s="36">
        <v>1552</v>
      </c>
      <c r="J13" s="36">
        <v>2392</v>
      </c>
      <c r="K13" s="36">
        <v>2917</v>
      </c>
      <c r="L13" s="36">
        <v>3423</v>
      </c>
      <c r="M13" s="36">
        <v>4605</v>
      </c>
      <c r="N13" s="36">
        <v>4229</v>
      </c>
      <c r="O13" s="36">
        <v>4322</v>
      </c>
      <c r="P13" s="36">
        <v>5442</v>
      </c>
      <c r="Q13" s="36">
        <v>7021</v>
      </c>
      <c r="R13" s="36">
        <v>11841</v>
      </c>
      <c r="S13" s="36">
        <v>10480</v>
      </c>
      <c r="T13" s="36">
        <v>11252</v>
      </c>
      <c r="U13" s="36">
        <v>10568</v>
      </c>
      <c r="V13" s="36">
        <v>8347</v>
      </c>
      <c r="W13" s="36">
        <v>7564</v>
      </c>
      <c r="X13" s="36">
        <v>7673</v>
      </c>
      <c r="Y13" s="36">
        <v>7676</v>
      </c>
      <c r="Z13" s="36">
        <v>7233</v>
      </c>
      <c r="AA13" s="36">
        <v>5049</v>
      </c>
      <c r="AB13" s="36">
        <v>5293</v>
      </c>
      <c r="AC13" s="36">
        <v>5362</v>
      </c>
      <c r="AD13" s="36">
        <v>8531</v>
      </c>
      <c r="AE13" s="36">
        <v>6810</v>
      </c>
      <c r="AF13" s="36">
        <v>6836</v>
      </c>
      <c r="AG13" s="36">
        <v>9146</v>
      </c>
      <c r="AH13" s="36">
        <v>10620</v>
      </c>
      <c r="AI13" s="36">
        <v>10746</v>
      </c>
      <c r="AJ13" s="36">
        <v>10741</v>
      </c>
      <c r="AK13" s="36">
        <v>11049</v>
      </c>
      <c r="AL13" s="36">
        <v>9771</v>
      </c>
      <c r="AM13" s="36">
        <v>11865</v>
      </c>
      <c r="AN13" s="36">
        <v>10623</v>
      </c>
      <c r="AO13" s="36">
        <v>11773</v>
      </c>
      <c r="AP13" s="36">
        <v>12981</v>
      </c>
      <c r="AQ13" s="36">
        <v>18850</v>
      </c>
      <c r="AR13" s="36">
        <v>15820</v>
      </c>
      <c r="AS13" s="36">
        <v>26262</v>
      </c>
      <c r="AT13" s="36">
        <v>54465</v>
      </c>
      <c r="AU13" s="36">
        <v>29567</v>
      </c>
      <c r="AV13" s="36">
        <v>23952</v>
      </c>
      <c r="AW13" s="36">
        <v>27676</v>
      </c>
      <c r="AX13" s="36">
        <v>23894</v>
      </c>
      <c r="AY13" s="36">
        <v>23883</v>
      </c>
      <c r="AZ13" s="36">
        <v>25132</v>
      </c>
      <c r="BA13" s="36">
        <v>32335</v>
      </c>
      <c r="BB13" s="36">
        <v>20670</v>
      </c>
      <c r="BC13" s="36">
        <v>20669</v>
      </c>
      <c r="BD13" s="36">
        <v>20140</v>
      </c>
      <c r="BE13" s="36">
        <v>24907</v>
      </c>
      <c r="BF13" s="36">
        <v>42159</v>
      </c>
      <c r="BG13" s="36">
        <v>26784</v>
      </c>
      <c r="BH13" s="36">
        <v>81878</v>
      </c>
      <c r="BI13" s="34">
        <v>44655</v>
      </c>
      <c r="BJ13" s="34">
        <v>69963</v>
      </c>
      <c r="BK13" s="34">
        <v>86553</v>
      </c>
      <c r="BL13" s="34">
        <v>85215</v>
      </c>
    </row>
    <row r="14" spans="1:64" ht="14.15" customHeight="1" x14ac:dyDescent="0.35">
      <c r="A14" s="49" t="s">
        <v>274</v>
      </c>
      <c r="B14" s="36">
        <f>B13+B9</f>
        <v>4031</v>
      </c>
      <c r="C14" s="36">
        <f t="shared" ref="C14:BL14" si="3">C13+C9</f>
        <v>4958</v>
      </c>
      <c r="D14" s="36">
        <f t="shared" si="3"/>
        <v>5542</v>
      </c>
      <c r="E14" s="36">
        <f t="shared" si="3"/>
        <v>5068</v>
      </c>
      <c r="F14" s="36">
        <f t="shared" si="3"/>
        <v>3552</v>
      </c>
      <c r="G14" s="36">
        <f t="shared" si="3"/>
        <v>4098</v>
      </c>
      <c r="H14" s="36">
        <f t="shared" si="3"/>
        <v>5926</v>
      </c>
      <c r="I14" s="36">
        <f t="shared" si="3"/>
        <v>7378</v>
      </c>
      <c r="J14" s="36">
        <f t="shared" si="3"/>
        <v>7558</v>
      </c>
      <c r="K14" s="36">
        <f t="shared" si="3"/>
        <v>7207</v>
      </c>
      <c r="L14" s="36">
        <f t="shared" si="3"/>
        <v>8650</v>
      </c>
      <c r="M14" s="36">
        <f t="shared" si="3"/>
        <v>9426</v>
      </c>
      <c r="N14" s="36">
        <f t="shared" si="3"/>
        <v>6423</v>
      </c>
      <c r="O14" s="36">
        <f t="shared" si="3"/>
        <v>7319</v>
      </c>
      <c r="P14" s="36">
        <f t="shared" si="3"/>
        <v>8551</v>
      </c>
      <c r="Q14" s="36">
        <f t="shared" si="3"/>
        <v>13755</v>
      </c>
      <c r="R14" s="36">
        <f t="shared" si="3"/>
        <v>23142</v>
      </c>
      <c r="S14" s="36">
        <f t="shared" si="3"/>
        <v>21656</v>
      </c>
      <c r="T14" s="36">
        <f t="shared" si="3"/>
        <v>20026</v>
      </c>
      <c r="U14" s="36">
        <f t="shared" si="3"/>
        <v>21809</v>
      </c>
      <c r="V14" s="36">
        <f t="shared" si="3"/>
        <v>24213</v>
      </c>
      <c r="W14" s="36">
        <f t="shared" si="3"/>
        <v>30371</v>
      </c>
      <c r="X14" s="36">
        <f t="shared" si="3"/>
        <v>21150</v>
      </c>
      <c r="Y14" s="36">
        <f t="shared" si="3"/>
        <v>33103</v>
      </c>
      <c r="Z14" s="36">
        <f t="shared" si="3"/>
        <v>38552</v>
      </c>
      <c r="AA14" s="36">
        <f t="shared" si="3"/>
        <v>31515</v>
      </c>
      <c r="AB14" s="36">
        <f t="shared" si="3"/>
        <v>22381</v>
      </c>
      <c r="AC14" s="36">
        <f t="shared" si="3"/>
        <v>22060</v>
      </c>
      <c r="AD14" s="36">
        <f t="shared" si="3"/>
        <v>20168</v>
      </c>
      <c r="AE14" s="36">
        <f t="shared" si="3"/>
        <v>21696</v>
      </c>
      <c r="AF14" s="36">
        <f t="shared" si="3"/>
        <v>21758</v>
      </c>
      <c r="AG14" s="36">
        <f t="shared" si="3"/>
        <v>29227</v>
      </c>
      <c r="AH14" s="36">
        <f t="shared" si="3"/>
        <v>25415</v>
      </c>
      <c r="AI14" s="36">
        <f t="shared" si="3"/>
        <v>20417</v>
      </c>
      <c r="AJ14" s="36">
        <f t="shared" si="3"/>
        <v>19776</v>
      </c>
      <c r="AK14" s="36">
        <f t="shared" si="3"/>
        <v>19938</v>
      </c>
      <c r="AL14" s="36">
        <f t="shared" si="3"/>
        <v>21848</v>
      </c>
      <c r="AM14" s="36">
        <f t="shared" si="3"/>
        <v>34744</v>
      </c>
      <c r="AN14" s="36">
        <f t="shared" si="3"/>
        <v>47081</v>
      </c>
      <c r="AO14" s="36">
        <f t="shared" si="3"/>
        <v>38025</v>
      </c>
      <c r="AP14" s="36">
        <f t="shared" si="3"/>
        <v>34946</v>
      </c>
      <c r="AQ14" s="36">
        <f t="shared" si="3"/>
        <v>41346</v>
      </c>
      <c r="AR14" s="36">
        <f t="shared" si="3"/>
        <v>31259</v>
      </c>
      <c r="AS14" s="36">
        <f t="shared" si="3"/>
        <v>52827</v>
      </c>
      <c r="AT14" s="36">
        <f t="shared" si="3"/>
        <v>80434</v>
      </c>
      <c r="AU14" s="36">
        <f t="shared" si="3"/>
        <v>47229</v>
      </c>
      <c r="AV14" s="36">
        <f t="shared" si="3"/>
        <v>42339</v>
      </c>
      <c r="AW14" s="36">
        <f t="shared" si="3"/>
        <v>49913</v>
      </c>
      <c r="AX14" s="36">
        <f t="shared" si="3"/>
        <v>45250</v>
      </c>
      <c r="AY14" s="36">
        <f t="shared" si="3"/>
        <v>44545</v>
      </c>
      <c r="AZ14" s="36">
        <f t="shared" si="3"/>
        <v>42923</v>
      </c>
      <c r="BA14" s="36">
        <f t="shared" si="3"/>
        <v>62013</v>
      </c>
      <c r="BB14" s="36">
        <f t="shared" si="3"/>
        <v>45056</v>
      </c>
      <c r="BC14" s="36">
        <f t="shared" si="3"/>
        <v>39169</v>
      </c>
      <c r="BD14" s="36">
        <f t="shared" si="3"/>
        <v>38484</v>
      </c>
      <c r="BE14" s="36">
        <f t="shared" si="3"/>
        <v>43779</v>
      </c>
      <c r="BF14" s="36">
        <f t="shared" si="3"/>
        <v>63948</v>
      </c>
      <c r="BG14" s="36">
        <f t="shared" si="3"/>
        <v>65041</v>
      </c>
      <c r="BH14" s="36">
        <f t="shared" si="3"/>
        <v>129176</v>
      </c>
      <c r="BI14" s="36">
        <f t="shared" si="3"/>
        <v>92053</v>
      </c>
      <c r="BJ14" s="36">
        <f t="shared" si="3"/>
        <v>103028</v>
      </c>
      <c r="BK14" s="36">
        <f t="shared" si="3"/>
        <v>120204</v>
      </c>
      <c r="BL14" s="36">
        <f t="shared" si="3"/>
        <v>118056</v>
      </c>
    </row>
    <row r="15" spans="1:64" ht="14.15" customHeight="1" x14ac:dyDescent="0.35">
      <c r="A15" s="31" t="s">
        <v>261</v>
      </c>
      <c r="B15" s="36">
        <v>1241</v>
      </c>
      <c r="C15" s="36">
        <v>1458</v>
      </c>
      <c r="D15" s="36">
        <v>1555</v>
      </c>
      <c r="E15" s="36">
        <v>2140</v>
      </c>
      <c r="F15" s="36">
        <v>4363</v>
      </c>
      <c r="G15" s="36">
        <v>6453</v>
      </c>
      <c r="H15" s="36">
        <v>7634</v>
      </c>
      <c r="I15" s="36">
        <v>7548</v>
      </c>
      <c r="J15" s="36">
        <v>8634</v>
      </c>
      <c r="K15" s="36">
        <v>9849</v>
      </c>
      <c r="L15" s="36">
        <v>12529</v>
      </c>
      <c r="M15" s="36">
        <v>12744</v>
      </c>
      <c r="N15" s="36">
        <v>12455</v>
      </c>
      <c r="O15" s="36">
        <v>16022</v>
      </c>
      <c r="P15" s="36">
        <v>18910</v>
      </c>
      <c r="Q15" s="36">
        <v>21104</v>
      </c>
      <c r="R15" s="36">
        <v>26706</v>
      </c>
      <c r="S15" s="36">
        <v>30218</v>
      </c>
      <c r="T15" s="36">
        <v>31835</v>
      </c>
      <c r="U15" s="36">
        <v>33146</v>
      </c>
      <c r="V15" s="36">
        <v>26609</v>
      </c>
      <c r="W15" s="36">
        <v>26192</v>
      </c>
      <c r="X15" s="36">
        <v>26913</v>
      </c>
      <c r="Y15" s="36">
        <v>28584</v>
      </c>
      <c r="Z15" s="36">
        <v>29771</v>
      </c>
      <c r="AA15" s="36">
        <v>28915</v>
      </c>
      <c r="AB15" s="36">
        <v>30939</v>
      </c>
      <c r="AC15" s="36">
        <v>35314</v>
      </c>
      <c r="AD15" s="36">
        <v>37167</v>
      </c>
      <c r="AE15" s="36">
        <v>41260</v>
      </c>
      <c r="AF15" s="36">
        <v>42807</v>
      </c>
      <c r="AG15" s="36">
        <v>47455</v>
      </c>
      <c r="AH15" s="36">
        <v>43337</v>
      </c>
      <c r="AI15" s="36">
        <v>51067</v>
      </c>
      <c r="AJ15" s="36">
        <v>48334</v>
      </c>
      <c r="AK15" s="36">
        <v>49014</v>
      </c>
      <c r="AL15" s="36">
        <v>50534</v>
      </c>
      <c r="AM15" s="36">
        <v>50608</v>
      </c>
      <c r="AN15" s="36">
        <v>53766</v>
      </c>
      <c r="AO15" s="36">
        <v>57089</v>
      </c>
      <c r="AP15" s="36">
        <v>70592</v>
      </c>
      <c r="AQ15" s="36">
        <v>82733</v>
      </c>
      <c r="AR15" s="36">
        <v>87997</v>
      </c>
      <c r="AS15" s="36">
        <v>97553</v>
      </c>
      <c r="AT15" s="36">
        <v>118473</v>
      </c>
      <c r="AU15" s="36">
        <v>91647</v>
      </c>
      <c r="AV15" s="36">
        <v>91304</v>
      </c>
      <c r="AW15" s="36">
        <v>79744</v>
      </c>
      <c r="AX15" s="36">
        <v>128595</v>
      </c>
      <c r="AY15" s="36">
        <v>101256</v>
      </c>
      <c r="AZ15" s="36">
        <v>90822</v>
      </c>
      <c r="BA15" s="36">
        <v>72860</v>
      </c>
      <c r="BB15" s="36">
        <v>90610</v>
      </c>
      <c r="BC15" s="36">
        <v>122035</v>
      </c>
      <c r="BD15" s="36">
        <v>109709</v>
      </c>
      <c r="BE15" s="36">
        <v>143953</v>
      </c>
      <c r="BF15" s="36">
        <v>95503</v>
      </c>
      <c r="BG15" s="36">
        <v>136700</v>
      </c>
      <c r="BH15" s="36">
        <v>237754</v>
      </c>
      <c r="BI15" s="34">
        <v>298406</v>
      </c>
      <c r="BJ15" s="34">
        <v>677305</v>
      </c>
      <c r="BK15" s="34">
        <v>0</v>
      </c>
      <c r="BL15" s="34">
        <v>306370</v>
      </c>
    </row>
    <row r="16" spans="1:64" ht="14.15" customHeight="1" x14ac:dyDescent="0.35">
      <c r="A16" s="50" t="s">
        <v>262</v>
      </c>
      <c r="B16" s="36">
        <v>1198</v>
      </c>
      <c r="C16" s="36">
        <v>1451</v>
      </c>
      <c r="D16" s="36">
        <v>1788</v>
      </c>
      <c r="E16" s="36">
        <v>1791</v>
      </c>
      <c r="F16" s="36">
        <v>2543</v>
      </c>
      <c r="G16" s="36">
        <v>3351</v>
      </c>
      <c r="H16" s="36">
        <v>4390</v>
      </c>
      <c r="I16" s="36">
        <v>5162</v>
      </c>
      <c r="J16" s="36">
        <v>5907</v>
      </c>
      <c r="K16" s="36">
        <v>6843</v>
      </c>
      <c r="L16" s="36">
        <v>8674</v>
      </c>
      <c r="M16" s="36">
        <v>9356</v>
      </c>
      <c r="N16" s="36">
        <v>10733</v>
      </c>
      <c r="O16" s="36">
        <v>12930</v>
      </c>
      <c r="P16" s="36">
        <v>15734</v>
      </c>
      <c r="Q16" s="36">
        <v>17302</v>
      </c>
      <c r="R16" s="36">
        <v>18524</v>
      </c>
      <c r="S16" s="36">
        <v>20494</v>
      </c>
      <c r="T16" s="36">
        <v>23169</v>
      </c>
      <c r="U16" s="36">
        <v>26866</v>
      </c>
      <c r="V16" s="36">
        <v>27445</v>
      </c>
      <c r="W16" s="36">
        <v>28643</v>
      </c>
      <c r="X16" s="36">
        <v>30420</v>
      </c>
      <c r="Y16" s="36">
        <v>33546</v>
      </c>
      <c r="Z16" s="36">
        <v>35935</v>
      </c>
      <c r="AA16" s="36">
        <v>39967</v>
      </c>
      <c r="AB16" s="36">
        <v>44471</v>
      </c>
      <c r="AC16" s="36">
        <v>48390</v>
      </c>
      <c r="AD16" s="36">
        <v>57700</v>
      </c>
      <c r="AE16" s="36">
        <v>71139</v>
      </c>
      <c r="AF16" s="36">
        <v>89415</v>
      </c>
      <c r="AG16" s="36">
        <v>99321</v>
      </c>
      <c r="AH16" s="36">
        <v>107051</v>
      </c>
      <c r="AI16" s="36">
        <v>115352</v>
      </c>
      <c r="AJ16" s="36">
        <v>119342</v>
      </c>
      <c r="AK16" s="36">
        <v>123790</v>
      </c>
      <c r="AL16" s="36">
        <v>131403</v>
      </c>
      <c r="AM16" s="36">
        <v>141045</v>
      </c>
      <c r="AN16" s="36">
        <v>154502</v>
      </c>
      <c r="AO16" s="36">
        <v>172238</v>
      </c>
      <c r="AP16" s="36">
        <v>196471</v>
      </c>
      <c r="AQ16" s="36">
        <v>219605</v>
      </c>
      <c r="AR16" s="36">
        <v>240148</v>
      </c>
      <c r="AS16" s="36">
        <v>250605</v>
      </c>
      <c r="AT16" s="36">
        <v>252779</v>
      </c>
      <c r="AU16" s="36">
        <v>266425</v>
      </c>
      <c r="AV16" s="36">
        <v>280626</v>
      </c>
      <c r="AW16" s="36">
        <v>334368</v>
      </c>
      <c r="AX16" s="36">
        <v>369081</v>
      </c>
      <c r="AY16" s="36">
        <v>372481</v>
      </c>
      <c r="AZ16" s="36">
        <v>346755</v>
      </c>
      <c r="BA16" s="36">
        <v>358264</v>
      </c>
      <c r="BB16" s="36">
        <v>409497</v>
      </c>
      <c r="BC16" s="36">
        <v>482257</v>
      </c>
      <c r="BD16" s="36">
        <v>511325</v>
      </c>
      <c r="BE16" s="36">
        <v>533152</v>
      </c>
      <c r="BF16" s="36">
        <v>551219</v>
      </c>
      <c r="BG16" s="36">
        <v>584816</v>
      </c>
      <c r="BH16" s="36">
        <v>747582</v>
      </c>
      <c r="BI16" s="34">
        <v>796450</v>
      </c>
      <c r="BJ16" s="34">
        <v>914081</v>
      </c>
      <c r="BK16" s="34">
        <v>888555</v>
      </c>
      <c r="BL16" s="34">
        <v>911289</v>
      </c>
    </row>
    <row r="17" spans="1:64" ht="14.15" customHeight="1" x14ac:dyDescent="0.35">
      <c r="A17" s="50" t="s">
        <v>251</v>
      </c>
      <c r="B17" s="35"/>
      <c r="C17" s="35"/>
      <c r="D17" s="35"/>
      <c r="E17" s="35"/>
      <c r="F17" s="35">
        <v>64</v>
      </c>
      <c r="G17" s="35">
        <v>2748</v>
      </c>
      <c r="H17" s="35">
        <v>4649</v>
      </c>
      <c r="I17" s="35">
        <v>5695</v>
      </c>
      <c r="J17" s="35">
        <v>6213</v>
      </c>
      <c r="K17" s="35">
        <v>6622</v>
      </c>
      <c r="L17" s="35">
        <v>7479</v>
      </c>
      <c r="M17" s="35">
        <v>8052</v>
      </c>
      <c r="N17" s="35">
        <v>9639</v>
      </c>
      <c r="O17" s="35">
        <v>12875</v>
      </c>
      <c r="P17" s="35">
        <v>15834</v>
      </c>
      <c r="Q17" s="35">
        <v>19345</v>
      </c>
      <c r="R17" s="35">
        <v>22768</v>
      </c>
      <c r="S17" s="35">
        <v>26495</v>
      </c>
      <c r="T17" s="35">
        <v>32090</v>
      </c>
      <c r="U17" s="35">
        <v>39149</v>
      </c>
      <c r="V17" s="35">
        <v>46567</v>
      </c>
      <c r="W17" s="35">
        <v>52588</v>
      </c>
      <c r="X17" s="35">
        <v>57540</v>
      </c>
      <c r="Y17" s="35">
        <v>65822</v>
      </c>
      <c r="Z17" s="35">
        <v>70164</v>
      </c>
      <c r="AA17" s="35">
        <v>75120</v>
      </c>
      <c r="AB17" s="35">
        <v>78878</v>
      </c>
      <c r="AC17" s="35">
        <v>84964</v>
      </c>
      <c r="AD17" s="35">
        <v>98102</v>
      </c>
      <c r="AE17" s="35">
        <v>104489</v>
      </c>
      <c r="AF17" s="35">
        <v>119024</v>
      </c>
      <c r="AG17" s="35">
        <v>130552</v>
      </c>
      <c r="AH17" s="35">
        <v>144747</v>
      </c>
      <c r="AI17" s="35">
        <v>159855</v>
      </c>
      <c r="AJ17" s="35">
        <v>174225</v>
      </c>
      <c r="AK17" s="35">
        <v>190016</v>
      </c>
      <c r="AL17" s="35">
        <v>192822</v>
      </c>
      <c r="AM17" s="35">
        <v>190447</v>
      </c>
      <c r="AN17" s="35">
        <v>197113</v>
      </c>
      <c r="AO17" s="35">
        <v>217384</v>
      </c>
      <c r="AP17" s="35">
        <v>230855</v>
      </c>
      <c r="AQ17" s="35">
        <v>249433</v>
      </c>
      <c r="AR17" s="35">
        <v>269360</v>
      </c>
      <c r="AS17" s="35">
        <v>298638</v>
      </c>
      <c r="AT17" s="35">
        <v>329868</v>
      </c>
      <c r="AU17" s="35">
        <v>375407</v>
      </c>
      <c r="AV17" s="35">
        <v>390758</v>
      </c>
      <c r="AW17" s="35">
        <v>430093</v>
      </c>
      <c r="AX17" s="35">
        <v>451636</v>
      </c>
      <c r="AY17" s="35">
        <v>485653</v>
      </c>
      <c r="AZ17" s="35">
        <v>471793</v>
      </c>
      <c r="BA17" s="35">
        <v>497826</v>
      </c>
      <c r="BB17" s="35">
        <v>511688</v>
      </c>
      <c r="BC17" s="35">
        <v>546202</v>
      </c>
      <c r="BD17" s="35">
        <v>594536</v>
      </c>
      <c r="BE17" s="35">
        <v>597307</v>
      </c>
      <c r="BF17" s="35">
        <v>588706</v>
      </c>
      <c r="BG17" s="35">
        <v>650996</v>
      </c>
      <c r="BH17" s="35">
        <v>776225</v>
      </c>
      <c r="BI17" s="33">
        <v>696458</v>
      </c>
      <c r="BJ17" s="33">
        <v>755094</v>
      </c>
      <c r="BK17" s="33">
        <v>847544</v>
      </c>
      <c r="BL17" s="33">
        <v>874133</v>
      </c>
    </row>
    <row r="18" spans="1:64" ht="14.15" customHeight="1" x14ac:dyDescent="0.35">
      <c r="A18" s="51" t="s">
        <v>276</v>
      </c>
      <c r="B18" s="35">
        <f>B17+B16</f>
        <v>1198</v>
      </c>
      <c r="C18" s="35">
        <f t="shared" ref="C18:BL18" si="4">C17+C16</f>
        <v>1451</v>
      </c>
      <c r="D18" s="35">
        <f t="shared" si="4"/>
        <v>1788</v>
      </c>
      <c r="E18" s="35">
        <f t="shared" si="4"/>
        <v>1791</v>
      </c>
      <c r="F18" s="35">
        <f t="shared" si="4"/>
        <v>2607</v>
      </c>
      <c r="G18" s="35">
        <f t="shared" si="4"/>
        <v>6099</v>
      </c>
      <c r="H18" s="35">
        <f t="shared" si="4"/>
        <v>9039</v>
      </c>
      <c r="I18" s="35">
        <f t="shared" si="4"/>
        <v>10857</v>
      </c>
      <c r="J18" s="35">
        <f t="shared" si="4"/>
        <v>12120</v>
      </c>
      <c r="K18" s="35">
        <f t="shared" si="4"/>
        <v>13465</v>
      </c>
      <c r="L18" s="35">
        <f t="shared" si="4"/>
        <v>16153</v>
      </c>
      <c r="M18" s="35">
        <f t="shared" si="4"/>
        <v>17408</v>
      </c>
      <c r="N18" s="35">
        <f t="shared" si="4"/>
        <v>20372</v>
      </c>
      <c r="O18" s="35">
        <f t="shared" si="4"/>
        <v>25805</v>
      </c>
      <c r="P18" s="35">
        <f t="shared" si="4"/>
        <v>31568</v>
      </c>
      <c r="Q18" s="35">
        <f t="shared" si="4"/>
        <v>36647</v>
      </c>
      <c r="R18" s="35">
        <f t="shared" si="4"/>
        <v>41292</v>
      </c>
      <c r="S18" s="35">
        <f t="shared" si="4"/>
        <v>46989</v>
      </c>
      <c r="T18" s="35">
        <f t="shared" si="4"/>
        <v>55259</v>
      </c>
      <c r="U18" s="35">
        <f t="shared" si="4"/>
        <v>66015</v>
      </c>
      <c r="V18" s="35">
        <f t="shared" si="4"/>
        <v>74012</v>
      </c>
      <c r="W18" s="35">
        <f t="shared" si="4"/>
        <v>81231</v>
      </c>
      <c r="X18" s="35">
        <f t="shared" si="4"/>
        <v>87960</v>
      </c>
      <c r="Y18" s="35">
        <f t="shared" si="4"/>
        <v>99368</v>
      </c>
      <c r="Z18" s="35">
        <f t="shared" si="4"/>
        <v>106099</v>
      </c>
      <c r="AA18" s="35">
        <f t="shared" si="4"/>
        <v>115087</v>
      </c>
      <c r="AB18" s="35">
        <f t="shared" si="4"/>
        <v>123349</v>
      </c>
      <c r="AC18" s="35">
        <f t="shared" si="4"/>
        <v>133354</v>
      </c>
      <c r="AD18" s="35">
        <f t="shared" si="4"/>
        <v>155802</v>
      </c>
      <c r="AE18" s="35">
        <f t="shared" si="4"/>
        <v>175628</v>
      </c>
      <c r="AF18" s="35">
        <f t="shared" si="4"/>
        <v>208439</v>
      </c>
      <c r="AG18" s="35">
        <f t="shared" si="4"/>
        <v>229873</v>
      </c>
      <c r="AH18" s="35">
        <f t="shared" si="4"/>
        <v>251798</v>
      </c>
      <c r="AI18" s="35">
        <f t="shared" si="4"/>
        <v>275207</v>
      </c>
      <c r="AJ18" s="35">
        <f t="shared" si="4"/>
        <v>293567</v>
      </c>
      <c r="AK18" s="35">
        <f t="shared" si="4"/>
        <v>313806</v>
      </c>
      <c r="AL18" s="35">
        <f t="shared" si="4"/>
        <v>324225</v>
      </c>
      <c r="AM18" s="35">
        <f t="shared" si="4"/>
        <v>331492</v>
      </c>
      <c r="AN18" s="35">
        <f t="shared" si="4"/>
        <v>351615</v>
      </c>
      <c r="AO18" s="35">
        <f t="shared" si="4"/>
        <v>389622</v>
      </c>
      <c r="AP18" s="35">
        <f t="shared" si="4"/>
        <v>427326</v>
      </c>
      <c r="AQ18" s="35">
        <f t="shared" si="4"/>
        <v>469038</v>
      </c>
      <c r="AR18" s="35">
        <f t="shared" si="4"/>
        <v>509508</v>
      </c>
      <c r="AS18" s="35">
        <f t="shared" si="4"/>
        <v>549243</v>
      </c>
      <c r="AT18" s="35">
        <f t="shared" si="4"/>
        <v>582647</v>
      </c>
      <c r="AU18" s="35">
        <f t="shared" si="4"/>
        <v>641832</v>
      </c>
      <c r="AV18" s="35">
        <f t="shared" si="4"/>
        <v>671384</v>
      </c>
      <c r="AW18" s="35">
        <f t="shared" si="4"/>
        <v>764461</v>
      </c>
      <c r="AX18" s="35">
        <f t="shared" si="4"/>
        <v>820717</v>
      </c>
      <c r="AY18" s="35">
        <f t="shared" si="4"/>
        <v>858134</v>
      </c>
      <c r="AZ18" s="35">
        <f t="shared" si="4"/>
        <v>818548</v>
      </c>
      <c r="BA18" s="35">
        <f t="shared" si="4"/>
        <v>856090</v>
      </c>
      <c r="BB18" s="35">
        <f t="shared" si="4"/>
        <v>921185</v>
      </c>
      <c r="BC18" s="35">
        <f t="shared" si="4"/>
        <v>1028459</v>
      </c>
      <c r="BD18" s="35">
        <f t="shared" si="4"/>
        <v>1105861</v>
      </c>
      <c r="BE18" s="35">
        <f t="shared" si="4"/>
        <v>1130459</v>
      </c>
      <c r="BF18" s="35">
        <f t="shared" si="4"/>
        <v>1139925</v>
      </c>
      <c r="BG18" s="35">
        <f t="shared" si="4"/>
        <v>1235812</v>
      </c>
      <c r="BH18" s="35">
        <f t="shared" si="4"/>
        <v>1523807</v>
      </c>
      <c r="BI18" s="35">
        <f t="shared" si="4"/>
        <v>1492908</v>
      </c>
      <c r="BJ18" s="35">
        <f t="shared" si="4"/>
        <v>1669175</v>
      </c>
      <c r="BK18" s="35">
        <f t="shared" si="4"/>
        <v>1736099</v>
      </c>
      <c r="BL18" s="35">
        <f t="shared" si="4"/>
        <v>1785422</v>
      </c>
    </row>
    <row r="19" spans="1:64" ht="14.15" customHeight="1" x14ac:dyDescent="0.35">
      <c r="A19" s="52" t="s">
        <v>263</v>
      </c>
      <c r="B19" s="36">
        <v>9198</v>
      </c>
      <c r="C19" s="36">
        <v>9304</v>
      </c>
      <c r="D19" s="36">
        <v>9650</v>
      </c>
      <c r="E19" s="36">
        <v>9462</v>
      </c>
      <c r="F19" s="36">
        <v>9671</v>
      </c>
      <c r="G19" s="36">
        <v>10253</v>
      </c>
      <c r="H19" s="36">
        <v>11806</v>
      </c>
      <c r="I19" s="36">
        <v>13066</v>
      </c>
      <c r="J19" s="36">
        <v>15645</v>
      </c>
      <c r="K19" s="36">
        <v>22936</v>
      </c>
      <c r="L19" s="36">
        <v>27638</v>
      </c>
      <c r="M19" s="36">
        <v>28265</v>
      </c>
      <c r="N19" s="36">
        <v>33700</v>
      </c>
      <c r="O19" s="36">
        <v>50161</v>
      </c>
      <c r="P19" s="36">
        <v>60784</v>
      </c>
      <c r="Q19" s="36">
        <v>61045</v>
      </c>
      <c r="R19" s="36">
        <v>61492</v>
      </c>
      <c r="S19" s="36">
        <v>66364</v>
      </c>
      <c r="T19" s="36">
        <v>86548</v>
      </c>
      <c r="U19" s="36">
        <v>100286</v>
      </c>
      <c r="V19" s="36">
        <v>108138</v>
      </c>
      <c r="W19" s="36">
        <v>123018</v>
      </c>
      <c r="X19" s="36">
        <v>113378</v>
      </c>
      <c r="Y19" s="36">
        <v>129002</v>
      </c>
      <c r="Z19" s="36">
        <v>120656</v>
      </c>
      <c r="AA19" s="36">
        <v>124105</v>
      </c>
      <c r="AB19" s="36">
        <v>130387</v>
      </c>
      <c r="AC19" s="36">
        <v>137554</v>
      </c>
      <c r="AD19" s="36">
        <v>148783</v>
      </c>
      <c r="AE19" s="36">
        <v>172589</v>
      </c>
      <c r="AF19" s="36">
        <v>199657</v>
      </c>
      <c r="AG19" s="36">
        <v>210088</v>
      </c>
      <c r="AH19" s="36">
        <v>217233</v>
      </c>
      <c r="AI19" s="36">
        <v>223758</v>
      </c>
      <c r="AJ19" s="36">
        <v>229699</v>
      </c>
      <c r="AK19" s="36">
        <v>234986</v>
      </c>
      <c r="AL19" s="36">
        <v>237698</v>
      </c>
      <c r="AM19" s="36">
        <v>242417</v>
      </c>
      <c r="AN19" s="36">
        <v>253673</v>
      </c>
      <c r="AO19" s="36">
        <v>269724</v>
      </c>
      <c r="AP19" s="36">
        <v>312670</v>
      </c>
      <c r="AQ19" s="36">
        <v>334574</v>
      </c>
      <c r="AR19" s="36">
        <v>333027</v>
      </c>
      <c r="AS19" s="36">
        <v>345800</v>
      </c>
      <c r="AT19" s="36">
        <v>352425</v>
      </c>
      <c r="AU19" s="36">
        <v>365931</v>
      </c>
      <c r="AV19" s="36">
        <v>431211</v>
      </c>
      <c r="AW19" s="36">
        <v>533080</v>
      </c>
      <c r="AX19" s="36">
        <v>622106</v>
      </c>
      <c r="AY19" s="36">
        <v>597269</v>
      </c>
      <c r="AZ19" s="36">
        <v>541248</v>
      </c>
      <c r="BA19" s="36">
        <v>536411</v>
      </c>
      <c r="BB19" s="36">
        <v>513596</v>
      </c>
      <c r="BC19" s="36">
        <v>508800</v>
      </c>
      <c r="BD19" s="36">
        <v>514098</v>
      </c>
      <c r="BE19" s="36">
        <v>503443</v>
      </c>
      <c r="BF19" s="36">
        <v>495289</v>
      </c>
      <c r="BG19" s="36">
        <v>514787</v>
      </c>
      <c r="BH19" s="36">
        <v>1263639</v>
      </c>
      <c r="BI19" s="34">
        <v>1647729</v>
      </c>
      <c r="BJ19" s="34">
        <v>866097</v>
      </c>
      <c r="BK19" s="34">
        <v>774656</v>
      </c>
      <c r="BL19" s="34">
        <v>670548</v>
      </c>
    </row>
    <row r="20" spans="1:64" ht="14.15" customHeight="1" x14ac:dyDescent="0.35">
      <c r="A20" s="52" t="s">
        <v>252</v>
      </c>
      <c r="B20" s="35">
        <v>14365</v>
      </c>
      <c r="C20" s="35">
        <v>15788</v>
      </c>
      <c r="D20" s="35">
        <v>16620</v>
      </c>
      <c r="E20" s="35">
        <v>17460</v>
      </c>
      <c r="F20" s="35">
        <v>20694</v>
      </c>
      <c r="G20" s="35">
        <v>21725</v>
      </c>
      <c r="H20" s="35">
        <v>23854</v>
      </c>
      <c r="I20" s="35">
        <v>27298</v>
      </c>
      <c r="J20" s="35">
        <v>30270</v>
      </c>
      <c r="K20" s="35">
        <v>35872</v>
      </c>
      <c r="L20" s="35">
        <v>40157</v>
      </c>
      <c r="M20" s="35">
        <v>49090</v>
      </c>
      <c r="N20" s="35">
        <v>55867</v>
      </c>
      <c r="O20" s="35">
        <v>64658</v>
      </c>
      <c r="P20" s="35">
        <v>73899</v>
      </c>
      <c r="Q20" s="35">
        <v>85061</v>
      </c>
      <c r="R20" s="35">
        <v>93861</v>
      </c>
      <c r="S20" s="35">
        <v>104073</v>
      </c>
      <c r="T20" s="35">
        <v>118547</v>
      </c>
      <c r="U20" s="35">
        <v>139584</v>
      </c>
      <c r="V20" s="35">
        <v>155964</v>
      </c>
      <c r="W20" s="35">
        <v>170724</v>
      </c>
      <c r="X20" s="35">
        <v>178223</v>
      </c>
      <c r="Y20" s="35">
        <v>188623</v>
      </c>
      <c r="Z20" s="35">
        <v>198756</v>
      </c>
      <c r="AA20" s="35">
        <v>207352</v>
      </c>
      <c r="AB20" s="35">
        <v>219341</v>
      </c>
      <c r="AC20" s="35">
        <v>232542</v>
      </c>
      <c r="AD20" s="35">
        <v>248623</v>
      </c>
      <c r="AE20" s="35">
        <v>269014</v>
      </c>
      <c r="AF20" s="35">
        <v>287584</v>
      </c>
      <c r="AG20" s="35">
        <v>304585</v>
      </c>
      <c r="AH20" s="35">
        <v>319565</v>
      </c>
      <c r="AI20" s="35">
        <v>335846</v>
      </c>
      <c r="AJ20" s="35">
        <v>349671</v>
      </c>
      <c r="AK20" s="35">
        <v>365251</v>
      </c>
      <c r="AL20" s="35">
        <v>379215</v>
      </c>
      <c r="AM20" s="35">
        <v>390037</v>
      </c>
      <c r="AN20" s="35">
        <v>409423</v>
      </c>
      <c r="AO20" s="35">
        <v>432958</v>
      </c>
      <c r="AP20" s="35">
        <v>455980</v>
      </c>
      <c r="AQ20" s="35">
        <v>474680</v>
      </c>
      <c r="AR20" s="35">
        <v>495548</v>
      </c>
      <c r="AS20" s="35">
        <v>523305</v>
      </c>
      <c r="AT20" s="35">
        <v>548549</v>
      </c>
      <c r="AU20" s="35">
        <v>586153</v>
      </c>
      <c r="AV20" s="35">
        <v>617027</v>
      </c>
      <c r="AW20" s="35">
        <v>682963</v>
      </c>
      <c r="AX20" s="35">
        <v>706737</v>
      </c>
      <c r="AY20" s="35">
        <v>730811</v>
      </c>
      <c r="AZ20" s="35">
        <v>773290</v>
      </c>
      <c r="BA20" s="35">
        <v>813551</v>
      </c>
      <c r="BB20" s="35">
        <v>850533</v>
      </c>
      <c r="BC20" s="35">
        <v>887753</v>
      </c>
      <c r="BD20" s="35">
        <v>916067</v>
      </c>
      <c r="BE20" s="35">
        <v>944878</v>
      </c>
      <c r="BF20" s="35">
        <v>987791</v>
      </c>
      <c r="BG20" s="35">
        <v>1044409</v>
      </c>
      <c r="BH20" s="35">
        <v>1095816</v>
      </c>
      <c r="BI20" s="33">
        <v>1134586</v>
      </c>
      <c r="BJ20" s="33">
        <v>1218663</v>
      </c>
      <c r="BK20" s="33">
        <v>1354317</v>
      </c>
      <c r="BL20" s="33">
        <v>1460918</v>
      </c>
    </row>
    <row r="21" spans="1:64" ht="14.15" customHeight="1" x14ac:dyDescent="0.35">
      <c r="A21" s="53" t="s">
        <v>277</v>
      </c>
      <c r="B21" s="35">
        <f>B19+B20</f>
        <v>23563</v>
      </c>
      <c r="C21" s="35">
        <f t="shared" ref="C21:BL21" si="5">C19+C20</f>
        <v>25092</v>
      </c>
      <c r="D21" s="35">
        <f t="shared" si="5"/>
        <v>26270</v>
      </c>
      <c r="E21" s="35">
        <f t="shared" si="5"/>
        <v>26922</v>
      </c>
      <c r="F21" s="35">
        <f t="shared" si="5"/>
        <v>30365</v>
      </c>
      <c r="G21" s="35">
        <f t="shared" si="5"/>
        <v>31978</v>
      </c>
      <c r="H21" s="35">
        <f t="shared" si="5"/>
        <v>35660</v>
      </c>
      <c r="I21" s="35">
        <f t="shared" si="5"/>
        <v>40364</v>
      </c>
      <c r="J21" s="35">
        <f t="shared" si="5"/>
        <v>45915</v>
      </c>
      <c r="K21" s="35">
        <f t="shared" si="5"/>
        <v>58808</v>
      </c>
      <c r="L21" s="35">
        <f t="shared" si="5"/>
        <v>67795</v>
      </c>
      <c r="M21" s="35">
        <f t="shared" si="5"/>
        <v>77355</v>
      </c>
      <c r="N21" s="35">
        <f t="shared" si="5"/>
        <v>89567</v>
      </c>
      <c r="O21" s="35">
        <f t="shared" si="5"/>
        <v>114819</v>
      </c>
      <c r="P21" s="35">
        <f t="shared" si="5"/>
        <v>134683</v>
      </c>
      <c r="Q21" s="35">
        <f t="shared" si="5"/>
        <v>146106</v>
      </c>
      <c r="R21" s="35">
        <f t="shared" si="5"/>
        <v>155353</v>
      </c>
      <c r="S21" s="35">
        <f t="shared" si="5"/>
        <v>170437</v>
      </c>
      <c r="T21" s="35">
        <f t="shared" si="5"/>
        <v>205095</v>
      </c>
      <c r="U21" s="35">
        <f t="shared" si="5"/>
        <v>239870</v>
      </c>
      <c r="V21" s="35">
        <f t="shared" si="5"/>
        <v>264102</v>
      </c>
      <c r="W21" s="35">
        <f t="shared" si="5"/>
        <v>293742</v>
      </c>
      <c r="X21" s="35">
        <f t="shared" si="5"/>
        <v>291601</v>
      </c>
      <c r="Y21" s="35">
        <f t="shared" si="5"/>
        <v>317625</v>
      </c>
      <c r="Z21" s="35">
        <f t="shared" si="5"/>
        <v>319412</v>
      </c>
      <c r="AA21" s="35">
        <f t="shared" si="5"/>
        <v>331457</v>
      </c>
      <c r="AB21" s="35">
        <f t="shared" si="5"/>
        <v>349728</v>
      </c>
      <c r="AC21" s="35">
        <f t="shared" si="5"/>
        <v>370096</v>
      </c>
      <c r="AD21" s="35">
        <f t="shared" si="5"/>
        <v>397406</v>
      </c>
      <c r="AE21" s="35">
        <f t="shared" si="5"/>
        <v>441603</v>
      </c>
      <c r="AF21" s="35">
        <f t="shared" si="5"/>
        <v>487241</v>
      </c>
      <c r="AG21" s="35">
        <f t="shared" si="5"/>
        <v>514673</v>
      </c>
      <c r="AH21" s="35">
        <f t="shared" si="5"/>
        <v>536798</v>
      </c>
      <c r="AI21" s="35">
        <f t="shared" si="5"/>
        <v>559604</v>
      </c>
      <c r="AJ21" s="35">
        <f t="shared" si="5"/>
        <v>579370</v>
      </c>
      <c r="AK21" s="35">
        <f t="shared" si="5"/>
        <v>600237</v>
      </c>
      <c r="AL21" s="35">
        <f t="shared" si="5"/>
        <v>616913</v>
      </c>
      <c r="AM21" s="35">
        <f t="shared" si="5"/>
        <v>632454</v>
      </c>
      <c r="AN21" s="35">
        <f t="shared" si="5"/>
        <v>663096</v>
      </c>
      <c r="AO21" s="35">
        <f t="shared" si="5"/>
        <v>702682</v>
      </c>
      <c r="AP21" s="35">
        <f t="shared" si="5"/>
        <v>768650</v>
      </c>
      <c r="AQ21" s="35">
        <f t="shared" si="5"/>
        <v>809254</v>
      </c>
      <c r="AR21" s="35">
        <f t="shared" si="5"/>
        <v>828575</v>
      </c>
      <c r="AS21" s="35">
        <f t="shared" si="5"/>
        <v>869105</v>
      </c>
      <c r="AT21" s="35">
        <f t="shared" si="5"/>
        <v>900974</v>
      </c>
      <c r="AU21" s="35">
        <f t="shared" si="5"/>
        <v>952084</v>
      </c>
      <c r="AV21" s="35">
        <f t="shared" si="5"/>
        <v>1048238</v>
      </c>
      <c r="AW21" s="35">
        <f t="shared" si="5"/>
        <v>1216043</v>
      </c>
      <c r="AX21" s="35">
        <f t="shared" si="5"/>
        <v>1328843</v>
      </c>
      <c r="AY21" s="35">
        <f t="shared" si="5"/>
        <v>1328080</v>
      </c>
      <c r="AZ21" s="35">
        <f t="shared" si="5"/>
        <v>1314538</v>
      </c>
      <c r="BA21" s="35">
        <f t="shared" si="5"/>
        <v>1349962</v>
      </c>
      <c r="BB21" s="35">
        <f t="shared" si="5"/>
        <v>1364129</v>
      </c>
      <c r="BC21" s="35">
        <f t="shared" si="5"/>
        <v>1396553</v>
      </c>
      <c r="BD21" s="35">
        <f t="shared" si="5"/>
        <v>1430165</v>
      </c>
      <c r="BE21" s="35">
        <f t="shared" si="5"/>
        <v>1448321</v>
      </c>
      <c r="BF21" s="35">
        <f t="shared" si="5"/>
        <v>1483080</v>
      </c>
      <c r="BG21" s="35">
        <f t="shared" si="5"/>
        <v>1559196</v>
      </c>
      <c r="BH21" s="35">
        <f t="shared" si="5"/>
        <v>2359455</v>
      </c>
      <c r="BI21" s="35">
        <f t="shared" si="5"/>
        <v>2782315</v>
      </c>
      <c r="BJ21" s="35">
        <f t="shared" si="5"/>
        <v>2084760</v>
      </c>
      <c r="BK21" s="35">
        <f t="shared" si="5"/>
        <v>2128973</v>
      </c>
      <c r="BL21" s="35">
        <f t="shared" si="5"/>
        <v>2131466</v>
      </c>
    </row>
    <row r="22" spans="1:64" ht="14.15" customHeight="1" x14ac:dyDescent="0.35">
      <c r="A22" s="46" t="s">
        <v>264</v>
      </c>
      <c r="B22" s="36">
        <v>5628</v>
      </c>
      <c r="C22" s="36">
        <v>5521</v>
      </c>
      <c r="D22" s="36">
        <v>5682</v>
      </c>
      <c r="E22" s="36">
        <v>5723</v>
      </c>
      <c r="F22" s="36">
        <v>5923</v>
      </c>
      <c r="G22" s="36">
        <v>6743</v>
      </c>
      <c r="H22" s="36">
        <v>7042</v>
      </c>
      <c r="I22" s="36">
        <v>7642</v>
      </c>
      <c r="J22" s="36">
        <v>8679</v>
      </c>
      <c r="K22" s="36">
        <v>9778</v>
      </c>
      <c r="L22" s="36">
        <v>10732</v>
      </c>
      <c r="M22" s="36">
        <v>12015</v>
      </c>
      <c r="N22" s="36">
        <v>13388</v>
      </c>
      <c r="O22" s="36">
        <v>16599</v>
      </c>
      <c r="P22" s="36">
        <v>18433</v>
      </c>
      <c r="Q22" s="36">
        <v>18038</v>
      </c>
      <c r="R22" s="36">
        <v>18978</v>
      </c>
      <c r="S22" s="36">
        <v>19931</v>
      </c>
      <c r="T22" s="36">
        <v>21185</v>
      </c>
      <c r="U22" s="36">
        <v>22991</v>
      </c>
      <c r="V22" s="36">
        <v>23958</v>
      </c>
      <c r="W22" s="36">
        <v>24846</v>
      </c>
      <c r="X22" s="36">
        <v>25601</v>
      </c>
      <c r="Y22" s="36">
        <v>26281</v>
      </c>
      <c r="Z22" s="36">
        <v>26343</v>
      </c>
      <c r="AA22" s="36">
        <v>26761</v>
      </c>
      <c r="AB22" s="36">
        <v>29409</v>
      </c>
      <c r="AC22" s="36">
        <v>30038</v>
      </c>
      <c r="AD22" s="36">
        <v>29088</v>
      </c>
      <c r="AE22" s="36">
        <v>31319</v>
      </c>
      <c r="AF22" s="36">
        <v>34112</v>
      </c>
      <c r="AG22" s="36">
        <v>35690</v>
      </c>
      <c r="AH22" s="36">
        <v>37617</v>
      </c>
      <c r="AI22" s="36">
        <v>37910</v>
      </c>
      <c r="AJ22" s="36">
        <v>37003</v>
      </c>
      <c r="AK22" s="36">
        <v>39332</v>
      </c>
      <c r="AL22" s="36">
        <v>41793</v>
      </c>
      <c r="AM22" s="36">
        <v>43216</v>
      </c>
      <c r="AN22" s="36">
        <v>47040</v>
      </c>
      <c r="AO22" s="36">
        <v>45024</v>
      </c>
      <c r="AP22" s="36">
        <v>50979</v>
      </c>
      <c r="AQ22" s="36">
        <v>56832</v>
      </c>
      <c r="AR22" s="36">
        <v>59729</v>
      </c>
      <c r="AS22" s="36">
        <v>70112</v>
      </c>
      <c r="AT22" s="36">
        <v>69832</v>
      </c>
      <c r="AU22" s="36">
        <v>72828</v>
      </c>
      <c r="AV22" s="36">
        <v>84711</v>
      </c>
      <c r="AW22" s="36">
        <v>95545</v>
      </c>
      <c r="AX22" s="36">
        <v>108478</v>
      </c>
      <c r="AY22" s="36">
        <v>127269</v>
      </c>
      <c r="AZ22" s="36">
        <v>124679</v>
      </c>
      <c r="BA22" s="36">
        <v>139038</v>
      </c>
      <c r="BB22" s="36">
        <v>149621</v>
      </c>
      <c r="BC22" s="36">
        <v>159781</v>
      </c>
      <c r="BD22" s="36">
        <v>174557</v>
      </c>
      <c r="BE22" s="36">
        <v>176584</v>
      </c>
      <c r="BF22" s="36">
        <v>178895</v>
      </c>
      <c r="BG22" s="36">
        <v>199843</v>
      </c>
      <c r="BH22" s="36">
        <v>218655</v>
      </c>
      <c r="BI22" s="34">
        <v>234282</v>
      </c>
      <c r="BJ22" s="34">
        <v>274404</v>
      </c>
      <c r="BK22" s="34">
        <v>301600</v>
      </c>
      <c r="BL22" s="34">
        <v>325637</v>
      </c>
    </row>
    <row r="23" spans="1:64" ht="14.15" customHeight="1" x14ac:dyDescent="0.35">
      <c r="A23" s="54" t="s">
        <v>265</v>
      </c>
      <c r="B23" s="36">
        <v>429</v>
      </c>
      <c r="C23" s="36">
        <v>465</v>
      </c>
      <c r="D23" s="36">
        <v>489</v>
      </c>
      <c r="E23" s="36">
        <v>536</v>
      </c>
      <c r="F23" s="36">
        <v>564</v>
      </c>
      <c r="G23" s="36">
        <v>618</v>
      </c>
      <c r="H23" s="36">
        <v>659</v>
      </c>
      <c r="I23" s="36">
        <v>766</v>
      </c>
      <c r="J23" s="36">
        <v>959</v>
      </c>
      <c r="K23" s="36">
        <v>1307</v>
      </c>
      <c r="L23" s="36">
        <v>1684</v>
      </c>
      <c r="M23" s="36">
        <v>2174</v>
      </c>
      <c r="N23" s="36">
        <v>2505</v>
      </c>
      <c r="O23" s="36">
        <v>3028</v>
      </c>
      <c r="P23" s="36">
        <v>3430</v>
      </c>
      <c r="Q23" s="36">
        <v>3701</v>
      </c>
      <c r="R23" s="36">
        <v>3923</v>
      </c>
      <c r="S23" s="36">
        <v>4286</v>
      </c>
      <c r="T23" s="36">
        <v>4702</v>
      </c>
      <c r="U23" s="36">
        <v>4908</v>
      </c>
      <c r="V23" s="36">
        <v>4842</v>
      </c>
      <c r="W23" s="36">
        <v>5246</v>
      </c>
      <c r="X23" s="36">
        <v>5811</v>
      </c>
      <c r="Y23" s="36">
        <v>6426</v>
      </c>
      <c r="Z23" s="36">
        <v>6735</v>
      </c>
      <c r="AA23" s="36">
        <v>7715</v>
      </c>
      <c r="AB23" s="36">
        <v>9397</v>
      </c>
      <c r="AC23" s="36">
        <v>9644</v>
      </c>
      <c r="AD23" s="36">
        <v>10185</v>
      </c>
      <c r="AE23" s="36">
        <v>12486</v>
      </c>
      <c r="AF23" s="36">
        <v>14650</v>
      </c>
      <c r="AG23" s="36">
        <v>15193</v>
      </c>
      <c r="AH23" s="36">
        <v>15516</v>
      </c>
      <c r="AI23" s="36">
        <v>16508</v>
      </c>
      <c r="AJ23" s="36">
        <v>17898</v>
      </c>
      <c r="AK23" s="36">
        <v>20617</v>
      </c>
      <c r="AL23" s="36">
        <v>23359</v>
      </c>
      <c r="AM23" s="36">
        <v>26536</v>
      </c>
      <c r="AN23" s="36">
        <v>28499</v>
      </c>
      <c r="AO23" s="36">
        <v>30201</v>
      </c>
      <c r="AP23" s="36">
        <v>35061</v>
      </c>
      <c r="AQ23" s="36">
        <v>35340</v>
      </c>
      <c r="AR23" s="36">
        <v>45576</v>
      </c>
      <c r="AS23" s="36">
        <v>40019</v>
      </c>
      <c r="AT23" s="36">
        <v>41016</v>
      </c>
      <c r="AU23" s="36">
        <v>42362</v>
      </c>
      <c r="AV23" s="36">
        <v>48097</v>
      </c>
      <c r="AW23" s="36">
        <v>52581</v>
      </c>
      <c r="AX23" s="36">
        <v>54383</v>
      </c>
      <c r="AY23" s="36">
        <v>56056</v>
      </c>
      <c r="AZ23" s="36">
        <v>56277</v>
      </c>
      <c r="BA23" s="36">
        <v>52601</v>
      </c>
      <c r="BB23" s="36">
        <v>50457</v>
      </c>
      <c r="BC23" s="36">
        <v>51906</v>
      </c>
      <c r="BD23" s="36">
        <v>55768</v>
      </c>
      <c r="BE23" s="36">
        <v>57944</v>
      </c>
      <c r="BF23" s="36">
        <v>60418</v>
      </c>
      <c r="BG23" s="36">
        <v>65832</v>
      </c>
      <c r="BH23" s="36">
        <v>71997</v>
      </c>
      <c r="BI23" s="34">
        <v>71430</v>
      </c>
      <c r="BJ23" s="34">
        <v>71323</v>
      </c>
      <c r="BK23" s="34">
        <v>80432</v>
      </c>
      <c r="BL23" s="34">
        <v>83793</v>
      </c>
    </row>
    <row r="24" spans="1:64" ht="14.15" customHeight="1" x14ac:dyDescent="0.35">
      <c r="A24" s="54" t="s">
        <v>266</v>
      </c>
      <c r="B24" s="36">
        <v>1049</v>
      </c>
      <c r="C24" s="36">
        <v>1230</v>
      </c>
      <c r="D24" s="36">
        <v>1518</v>
      </c>
      <c r="E24" s="36">
        <v>1499</v>
      </c>
      <c r="F24" s="36">
        <v>1603</v>
      </c>
      <c r="G24" s="36">
        <v>1719</v>
      </c>
      <c r="H24" s="36">
        <v>1757</v>
      </c>
      <c r="I24" s="36">
        <v>1939</v>
      </c>
      <c r="J24" s="36">
        <v>2320</v>
      </c>
      <c r="K24" s="36">
        <v>2442</v>
      </c>
      <c r="L24" s="36">
        <v>2960</v>
      </c>
      <c r="M24" s="36">
        <v>9774</v>
      </c>
      <c r="N24" s="36">
        <v>10032</v>
      </c>
      <c r="O24" s="36">
        <v>10374</v>
      </c>
      <c r="P24" s="36">
        <v>9706</v>
      </c>
      <c r="Q24" s="36">
        <v>12791</v>
      </c>
      <c r="R24" s="36">
        <v>11961</v>
      </c>
      <c r="S24" s="36">
        <v>12241</v>
      </c>
      <c r="T24" s="36">
        <v>12975</v>
      </c>
      <c r="U24" s="36">
        <v>11373</v>
      </c>
      <c r="V24" s="36">
        <v>10861</v>
      </c>
      <c r="W24" s="36">
        <v>11181</v>
      </c>
      <c r="X24" s="36">
        <v>11746</v>
      </c>
      <c r="Y24" s="36">
        <v>11515</v>
      </c>
      <c r="Z24" s="36">
        <v>12491</v>
      </c>
      <c r="AA24" s="36">
        <v>7487</v>
      </c>
      <c r="AB24" s="36">
        <v>9399</v>
      </c>
      <c r="AC24" s="36">
        <v>9317</v>
      </c>
      <c r="AD24" s="36">
        <v>10462</v>
      </c>
      <c r="AE24" s="36">
        <v>11568</v>
      </c>
      <c r="AF24" s="36">
        <v>12883</v>
      </c>
      <c r="AG24" s="36">
        <v>12944</v>
      </c>
      <c r="AH24" s="36">
        <v>11159</v>
      </c>
      <c r="AI24" s="36">
        <v>13799</v>
      </c>
      <c r="AJ24" s="36">
        <v>11755</v>
      </c>
      <c r="AK24" s="36">
        <v>12547</v>
      </c>
      <c r="AL24" s="36">
        <v>15544</v>
      </c>
      <c r="AM24" s="36">
        <v>15363</v>
      </c>
      <c r="AN24" s="36">
        <v>13013</v>
      </c>
      <c r="AO24" s="36">
        <v>14358</v>
      </c>
      <c r="AP24" s="36">
        <v>16951</v>
      </c>
      <c r="AQ24" s="36">
        <v>23164</v>
      </c>
      <c r="AR24" s="36">
        <v>22338</v>
      </c>
      <c r="AS24" s="36">
        <v>16997</v>
      </c>
      <c r="AT24" s="36">
        <v>18177</v>
      </c>
      <c r="AU24" s="36">
        <v>17425</v>
      </c>
      <c r="AV24" s="36">
        <v>20323</v>
      </c>
      <c r="AW24" s="36">
        <v>22017</v>
      </c>
      <c r="AX24" s="36">
        <v>23014</v>
      </c>
      <c r="AY24" s="36">
        <v>27476</v>
      </c>
      <c r="AZ24" s="36">
        <v>28035</v>
      </c>
      <c r="BA24" s="36">
        <v>27737</v>
      </c>
      <c r="BB24" s="36">
        <v>26913</v>
      </c>
      <c r="BC24" s="36">
        <v>20956</v>
      </c>
      <c r="BD24" s="36">
        <v>23146</v>
      </c>
      <c r="BE24" s="36">
        <v>23821</v>
      </c>
      <c r="BF24" s="36">
        <v>23885</v>
      </c>
      <c r="BG24" s="36">
        <v>23488</v>
      </c>
      <c r="BH24" s="36">
        <v>180109</v>
      </c>
      <c r="BI24" s="34">
        <v>273941</v>
      </c>
      <c r="BJ24" s="34">
        <v>133216</v>
      </c>
      <c r="BK24" s="34">
        <v>38199</v>
      </c>
      <c r="BL24" s="34">
        <v>35316</v>
      </c>
    </row>
    <row r="25" spans="1:64" ht="14.15" customHeight="1" x14ac:dyDescent="0.35">
      <c r="A25" s="55" t="s">
        <v>278</v>
      </c>
      <c r="B25" s="36">
        <f>B24+B23</f>
        <v>1478</v>
      </c>
      <c r="C25" s="36">
        <f t="shared" ref="C25:BL25" si="6">C24+C23</f>
        <v>1695</v>
      </c>
      <c r="D25" s="36">
        <f t="shared" si="6"/>
        <v>2007</v>
      </c>
      <c r="E25" s="36">
        <f t="shared" si="6"/>
        <v>2035</v>
      </c>
      <c r="F25" s="36">
        <f t="shared" si="6"/>
        <v>2167</v>
      </c>
      <c r="G25" s="36">
        <f t="shared" si="6"/>
        <v>2337</v>
      </c>
      <c r="H25" s="36">
        <f t="shared" si="6"/>
        <v>2416</v>
      </c>
      <c r="I25" s="36">
        <f t="shared" si="6"/>
        <v>2705</v>
      </c>
      <c r="J25" s="36">
        <f t="shared" si="6"/>
        <v>3279</v>
      </c>
      <c r="K25" s="36">
        <f t="shared" si="6"/>
        <v>3749</v>
      </c>
      <c r="L25" s="36">
        <f t="shared" si="6"/>
        <v>4644</v>
      </c>
      <c r="M25" s="36">
        <f t="shared" si="6"/>
        <v>11948</v>
      </c>
      <c r="N25" s="36">
        <f t="shared" si="6"/>
        <v>12537</v>
      </c>
      <c r="O25" s="36">
        <f t="shared" si="6"/>
        <v>13402</v>
      </c>
      <c r="P25" s="36">
        <f t="shared" si="6"/>
        <v>13136</v>
      </c>
      <c r="Q25" s="36">
        <f t="shared" si="6"/>
        <v>16492</v>
      </c>
      <c r="R25" s="36">
        <f t="shared" si="6"/>
        <v>15884</v>
      </c>
      <c r="S25" s="36">
        <f t="shared" si="6"/>
        <v>16527</v>
      </c>
      <c r="T25" s="36">
        <f t="shared" si="6"/>
        <v>17677</v>
      </c>
      <c r="U25" s="36">
        <f t="shared" si="6"/>
        <v>16281</v>
      </c>
      <c r="V25" s="36">
        <f t="shared" si="6"/>
        <v>15703</v>
      </c>
      <c r="W25" s="36">
        <f t="shared" si="6"/>
        <v>16427</v>
      </c>
      <c r="X25" s="36">
        <f t="shared" si="6"/>
        <v>17557</v>
      </c>
      <c r="Y25" s="36">
        <f t="shared" si="6"/>
        <v>17941</v>
      </c>
      <c r="Z25" s="36">
        <f t="shared" si="6"/>
        <v>19226</v>
      </c>
      <c r="AA25" s="36">
        <f t="shared" si="6"/>
        <v>15202</v>
      </c>
      <c r="AB25" s="36">
        <f t="shared" si="6"/>
        <v>18796</v>
      </c>
      <c r="AC25" s="36">
        <f t="shared" si="6"/>
        <v>18961</v>
      </c>
      <c r="AD25" s="36">
        <f t="shared" si="6"/>
        <v>20647</v>
      </c>
      <c r="AE25" s="36">
        <f t="shared" si="6"/>
        <v>24054</v>
      </c>
      <c r="AF25" s="36">
        <f t="shared" si="6"/>
        <v>27533</v>
      </c>
      <c r="AG25" s="36">
        <f t="shared" si="6"/>
        <v>28137</v>
      </c>
      <c r="AH25" s="36">
        <f t="shared" si="6"/>
        <v>26675</v>
      </c>
      <c r="AI25" s="36">
        <f t="shared" si="6"/>
        <v>30307</v>
      </c>
      <c r="AJ25" s="36">
        <f t="shared" si="6"/>
        <v>29653</v>
      </c>
      <c r="AK25" s="36">
        <f t="shared" si="6"/>
        <v>33164</v>
      </c>
      <c r="AL25" s="36">
        <f t="shared" si="6"/>
        <v>38903</v>
      </c>
      <c r="AM25" s="36">
        <f t="shared" si="6"/>
        <v>41899</v>
      </c>
      <c r="AN25" s="36">
        <f t="shared" si="6"/>
        <v>41512</v>
      </c>
      <c r="AO25" s="36">
        <f t="shared" si="6"/>
        <v>44559</v>
      </c>
      <c r="AP25" s="36">
        <f t="shared" si="6"/>
        <v>52012</v>
      </c>
      <c r="AQ25" s="36">
        <f t="shared" si="6"/>
        <v>58504</v>
      </c>
      <c r="AR25" s="36">
        <f t="shared" si="6"/>
        <v>67914</v>
      </c>
      <c r="AS25" s="36">
        <f t="shared" si="6"/>
        <v>57016</v>
      </c>
      <c r="AT25" s="36">
        <f t="shared" si="6"/>
        <v>59193</v>
      </c>
      <c r="AU25" s="36">
        <f t="shared" si="6"/>
        <v>59787</v>
      </c>
      <c r="AV25" s="36">
        <f t="shared" si="6"/>
        <v>68420</v>
      </c>
      <c r="AW25" s="36">
        <f t="shared" si="6"/>
        <v>74598</v>
      </c>
      <c r="AX25" s="36">
        <f t="shared" si="6"/>
        <v>77397</v>
      </c>
      <c r="AY25" s="36">
        <f t="shared" si="6"/>
        <v>83532</v>
      </c>
      <c r="AZ25" s="36">
        <f t="shared" si="6"/>
        <v>84312</v>
      </c>
      <c r="BA25" s="36">
        <f t="shared" si="6"/>
        <v>80338</v>
      </c>
      <c r="BB25" s="36">
        <f t="shared" si="6"/>
        <v>77370</v>
      </c>
      <c r="BC25" s="36">
        <f t="shared" si="6"/>
        <v>72862</v>
      </c>
      <c r="BD25" s="36">
        <f t="shared" si="6"/>
        <v>78914</v>
      </c>
      <c r="BE25" s="36">
        <f t="shared" si="6"/>
        <v>81765</v>
      </c>
      <c r="BF25" s="36">
        <f t="shared" si="6"/>
        <v>84303</v>
      </c>
      <c r="BG25" s="36">
        <f t="shared" si="6"/>
        <v>89320</v>
      </c>
      <c r="BH25" s="36">
        <f t="shared" si="6"/>
        <v>252106</v>
      </c>
      <c r="BI25" s="36">
        <f t="shared" si="6"/>
        <v>345371</v>
      </c>
      <c r="BJ25" s="36">
        <f t="shared" si="6"/>
        <v>204539</v>
      </c>
      <c r="BK25" s="36">
        <f t="shared" si="6"/>
        <v>118631</v>
      </c>
      <c r="BL25" s="36">
        <f t="shared" si="6"/>
        <v>119109</v>
      </c>
    </row>
    <row r="26" spans="1:64" ht="14.15" customHeight="1" x14ac:dyDescent="0.35">
      <c r="A26" s="31" t="s">
        <v>267</v>
      </c>
      <c r="B26" s="36">
        <v>6889</v>
      </c>
      <c r="C26" s="36">
        <v>7740</v>
      </c>
      <c r="D26" s="36">
        <v>8199</v>
      </c>
      <c r="E26" s="36">
        <v>8591</v>
      </c>
      <c r="F26" s="36">
        <v>9386</v>
      </c>
      <c r="G26" s="36">
        <v>10268</v>
      </c>
      <c r="H26" s="36">
        <v>11090</v>
      </c>
      <c r="I26" s="36">
        <v>12699</v>
      </c>
      <c r="J26" s="36">
        <v>14380</v>
      </c>
      <c r="K26" s="36">
        <v>14841</v>
      </c>
      <c r="L26" s="36">
        <v>15478</v>
      </c>
      <c r="M26" s="36">
        <v>17349</v>
      </c>
      <c r="N26" s="36">
        <v>21449</v>
      </c>
      <c r="O26" s="36">
        <v>23244</v>
      </c>
      <c r="P26" s="36">
        <v>26727</v>
      </c>
      <c r="Q26" s="36">
        <v>29901</v>
      </c>
      <c r="R26" s="36">
        <v>35458</v>
      </c>
      <c r="S26" s="36">
        <v>42633</v>
      </c>
      <c r="T26" s="36">
        <v>52533</v>
      </c>
      <c r="U26" s="36">
        <v>68766</v>
      </c>
      <c r="V26" s="36">
        <v>85032</v>
      </c>
      <c r="W26" s="36">
        <v>89808</v>
      </c>
      <c r="X26" s="36">
        <v>111102</v>
      </c>
      <c r="Y26" s="36">
        <v>129478</v>
      </c>
      <c r="Z26" s="36">
        <v>136017</v>
      </c>
      <c r="AA26" s="36">
        <v>138611</v>
      </c>
      <c r="AB26" s="36">
        <v>151803</v>
      </c>
      <c r="AC26" s="36">
        <v>168981</v>
      </c>
      <c r="AD26" s="36">
        <v>184347</v>
      </c>
      <c r="AE26" s="36">
        <v>194448</v>
      </c>
      <c r="AF26" s="36">
        <v>199344</v>
      </c>
      <c r="AG26" s="36">
        <v>198713</v>
      </c>
      <c r="AH26" s="36">
        <v>202932</v>
      </c>
      <c r="AI26" s="36">
        <v>232134</v>
      </c>
      <c r="AJ26" s="36">
        <v>241053</v>
      </c>
      <c r="AK26" s="36">
        <v>243984</v>
      </c>
      <c r="AL26" s="36">
        <v>241118</v>
      </c>
      <c r="AM26" s="36">
        <v>229755</v>
      </c>
      <c r="AN26" s="36">
        <v>222949</v>
      </c>
      <c r="AO26" s="36">
        <v>206167</v>
      </c>
      <c r="AP26" s="36">
        <v>170949</v>
      </c>
      <c r="AQ26" s="36">
        <v>153073</v>
      </c>
      <c r="AR26" s="36">
        <v>160245</v>
      </c>
      <c r="AS26" s="36">
        <v>183986</v>
      </c>
      <c r="AT26" s="36">
        <v>226603</v>
      </c>
      <c r="AU26" s="36">
        <v>237109</v>
      </c>
      <c r="AV26" s="36">
        <v>252757</v>
      </c>
      <c r="AW26" s="36">
        <v>186902</v>
      </c>
      <c r="AX26" s="36">
        <v>196194</v>
      </c>
      <c r="AY26" s="36">
        <v>229962</v>
      </c>
      <c r="AZ26" s="36">
        <v>220408</v>
      </c>
      <c r="BA26" s="36">
        <v>220885</v>
      </c>
      <c r="BB26" s="36">
        <v>228956</v>
      </c>
      <c r="BC26" s="36">
        <v>223181</v>
      </c>
      <c r="BD26" s="36">
        <v>240033</v>
      </c>
      <c r="BE26" s="36">
        <v>262551</v>
      </c>
      <c r="BF26" s="36">
        <v>324975</v>
      </c>
      <c r="BG26" s="36">
        <v>375158</v>
      </c>
      <c r="BH26" s="36">
        <v>345470</v>
      </c>
      <c r="BI26" s="34">
        <v>352338</v>
      </c>
      <c r="BJ26" s="34">
        <v>475887</v>
      </c>
      <c r="BK26" s="34">
        <v>658267</v>
      </c>
      <c r="BL26" s="34">
        <v>879879</v>
      </c>
    </row>
    <row r="27" spans="1:64" ht="14.15" customHeight="1" x14ac:dyDescent="0.35">
      <c r="A27" s="31" t="s">
        <v>268</v>
      </c>
      <c r="B27" s="36">
        <v>-5274</v>
      </c>
      <c r="C27" s="36">
        <v>-5797</v>
      </c>
      <c r="D27" s="36">
        <v>-5708</v>
      </c>
      <c r="E27" s="36">
        <v>-5908</v>
      </c>
      <c r="F27" s="36">
        <v>-6542</v>
      </c>
      <c r="G27" s="36">
        <v>-7294</v>
      </c>
      <c r="H27" s="36">
        <v>-8045</v>
      </c>
      <c r="I27" s="36">
        <v>-7986</v>
      </c>
      <c r="J27" s="36">
        <v>-8632</v>
      </c>
      <c r="K27" s="36">
        <v>-10107</v>
      </c>
      <c r="L27" s="36">
        <v>-9583</v>
      </c>
      <c r="M27" s="36">
        <v>-13409</v>
      </c>
      <c r="N27" s="36">
        <v>-16749</v>
      </c>
      <c r="O27" s="36">
        <v>-13602</v>
      </c>
      <c r="P27" s="36">
        <v>-14386</v>
      </c>
      <c r="Q27" s="36">
        <v>-14879</v>
      </c>
      <c r="R27" s="36">
        <v>-15720</v>
      </c>
      <c r="S27" s="36">
        <v>-17476</v>
      </c>
      <c r="T27" s="36">
        <v>-19942</v>
      </c>
      <c r="U27" s="36">
        <v>-28041</v>
      </c>
      <c r="V27" s="36">
        <v>-26099</v>
      </c>
      <c r="W27" s="36">
        <v>-33976</v>
      </c>
      <c r="X27" s="36">
        <v>-31957</v>
      </c>
      <c r="Y27" s="36">
        <v>-32698</v>
      </c>
      <c r="Z27" s="36">
        <v>-33007</v>
      </c>
      <c r="AA27" s="36">
        <v>-36455</v>
      </c>
      <c r="AB27" s="36">
        <v>-36967</v>
      </c>
      <c r="AC27" s="36">
        <v>-37212</v>
      </c>
      <c r="AD27" s="36">
        <v>-36615</v>
      </c>
      <c r="AE27" s="36">
        <v>-39356</v>
      </c>
      <c r="AF27" s="36">
        <v>-39280</v>
      </c>
      <c r="AG27" s="36">
        <v>-37386</v>
      </c>
      <c r="AH27" s="36">
        <v>-37772</v>
      </c>
      <c r="AI27" s="36">
        <v>-44455</v>
      </c>
      <c r="AJ27" s="36">
        <v>-37620</v>
      </c>
      <c r="AK27" s="36">
        <v>-49973</v>
      </c>
      <c r="AL27" s="36">
        <v>-47194</v>
      </c>
      <c r="AM27" s="36">
        <v>-40445</v>
      </c>
      <c r="AN27" s="36">
        <v>-42581</v>
      </c>
      <c r="AO27" s="36">
        <v>-47011</v>
      </c>
      <c r="AP27" s="36">
        <v>-47392</v>
      </c>
      <c r="AQ27" s="36">
        <v>-54382</v>
      </c>
      <c r="AR27" s="36">
        <v>-58537</v>
      </c>
      <c r="AS27" s="36">
        <v>-65224</v>
      </c>
      <c r="AT27" s="36">
        <v>-68250</v>
      </c>
      <c r="AU27" s="36">
        <v>-82238</v>
      </c>
      <c r="AV27" s="36">
        <v>-86242</v>
      </c>
      <c r="AW27" s="36">
        <v>-92639</v>
      </c>
      <c r="AX27" s="36">
        <v>-82116</v>
      </c>
      <c r="AY27" s="36">
        <v>-88467</v>
      </c>
      <c r="AZ27" s="36">
        <v>-103536</v>
      </c>
      <c r="BA27" s="36">
        <v>-92785</v>
      </c>
      <c r="BB27" s="36">
        <v>-88044</v>
      </c>
      <c r="BC27" s="36">
        <v>-115803</v>
      </c>
      <c r="BD27" s="36">
        <v>-95251</v>
      </c>
      <c r="BE27" s="36">
        <v>-89826</v>
      </c>
      <c r="BF27" s="36">
        <v>-97869</v>
      </c>
      <c r="BG27" s="36">
        <v>-98192</v>
      </c>
      <c r="BH27" s="36">
        <v>-106362</v>
      </c>
      <c r="BI27" s="34">
        <v>-123860</v>
      </c>
      <c r="BJ27" s="34">
        <v>-234964</v>
      </c>
      <c r="BK27" s="34">
        <v>-131927</v>
      </c>
      <c r="BL27" s="34">
        <v>-146736</v>
      </c>
    </row>
    <row r="28" spans="1:64" ht="14.15" customHeight="1" x14ac:dyDescent="0.35">
      <c r="A28" s="3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05B4-9157-4DD8-A196-8A4C2691841C}">
  <dimension ref="A1:BL12"/>
  <sheetViews>
    <sheetView workbookViewId="0">
      <selection activeCell="A11" sqref="A2:A11"/>
    </sheetView>
  </sheetViews>
  <sheetFormatPr defaultColWidth="9.08984375" defaultRowHeight="14.5" x14ac:dyDescent="0.35"/>
  <cols>
    <col min="1" max="1" width="53.90625" style="19" customWidth="1"/>
    <col min="2" max="64" width="9.7265625" style="19" customWidth="1"/>
    <col min="65" max="16384" width="9.08984375" style="19"/>
  </cols>
  <sheetData>
    <row r="1" spans="1:64" ht="26.15" customHeight="1" x14ac:dyDescent="0.35">
      <c r="A1" s="26" t="s">
        <v>269</v>
      </c>
      <c r="B1" s="27" t="s">
        <v>32</v>
      </c>
      <c r="C1" s="27" t="s">
        <v>33</v>
      </c>
      <c r="D1" s="27" t="s">
        <v>34</v>
      </c>
      <c r="E1" s="27" t="s">
        <v>35</v>
      </c>
      <c r="F1" s="27" t="s">
        <v>36</v>
      </c>
      <c r="G1" s="27" t="s">
        <v>37</v>
      </c>
      <c r="H1" s="27" t="s">
        <v>38</v>
      </c>
      <c r="I1" s="27" t="s">
        <v>39</v>
      </c>
      <c r="J1" s="27" t="s">
        <v>40</v>
      </c>
      <c r="K1" s="27" t="s">
        <v>41</v>
      </c>
      <c r="L1" s="27" t="s">
        <v>42</v>
      </c>
      <c r="M1" s="27" t="s">
        <v>43</v>
      </c>
      <c r="N1" s="27" t="s">
        <v>44</v>
      </c>
      <c r="O1" s="27" t="s">
        <v>45</v>
      </c>
      <c r="P1" s="27" t="s">
        <v>46</v>
      </c>
      <c r="Q1" s="27" t="s">
        <v>47</v>
      </c>
      <c r="R1" s="27" t="s">
        <v>48</v>
      </c>
      <c r="S1" s="27" t="s">
        <v>49</v>
      </c>
      <c r="T1" s="27" t="s">
        <v>50</v>
      </c>
      <c r="U1" s="27" t="s">
        <v>51</v>
      </c>
      <c r="V1" s="27" t="s">
        <v>52</v>
      </c>
      <c r="W1" s="27" t="s">
        <v>53</v>
      </c>
      <c r="X1" s="27" t="s">
        <v>54</v>
      </c>
      <c r="Y1" s="27" t="s">
        <v>55</v>
      </c>
      <c r="Z1" s="27" t="s">
        <v>56</v>
      </c>
      <c r="AA1" s="27" t="s">
        <v>57</v>
      </c>
      <c r="AB1" s="27" t="s">
        <v>58</v>
      </c>
      <c r="AC1" s="27" t="s">
        <v>59</v>
      </c>
      <c r="AD1" s="27" t="s">
        <v>60</v>
      </c>
      <c r="AE1" s="27" t="s">
        <v>61</v>
      </c>
      <c r="AF1" s="27" t="s">
        <v>62</v>
      </c>
      <c r="AG1" s="27" t="s">
        <v>63</v>
      </c>
      <c r="AH1" s="27" t="s">
        <v>64</v>
      </c>
      <c r="AI1" s="27" t="s">
        <v>65</v>
      </c>
      <c r="AJ1" s="27" t="s">
        <v>66</v>
      </c>
      <c r="AK1" s="27" t="s">
        <v>67</v>
      </c>
      <c r="AL1" s="27" t="s">
        <v>68</v>
      </c>
      <c r="AM1" s="27" t="s">
        <v>69</v>
      </c>
      <c r="AN1" s="27" t="s">
        <v>70</v>
      </c>
      <c r="AO1" s="27" t="s">
        <v>71</v>
      </c>
      <c r="AP1" s="27" t="s">
        <v>72</v>
      </c>
      <c r="AQ1" s="27" t="s">
        <v>73</v>
      </c>
      <c r="AR1" s="27" t="s">
        <v>74</v>
      </c>
      <c r="AS1" s="27" t="s">
        <v>75</v>
      </c>
      <c r="AT1" s="27" t="s">
        <v>76</v>
      </c>
      <c r="AU1" s="27" t="s">
        <v>77</v>
      </c>
      <c r="AV1" s="27" t="s">
        <v>78</v>
      </c>
      <c r="AW1" s="27" t="s">
        <v>79</v>
      </c>
      <c r="AX1" s="27" t="s">
        <v>80</v>
      </c>
      <c r="AY1" s="27" t="s">
        <v>81</v>
      </c>
      <c r="AZ1" s="27" t="s">
        <v>82</v>
      </c>
      <c r="BA1" s="27" t="s">
        <v>83</v>
      </c>
      <c r="BB1" s="27" t="s">
        <v>84</v>
      </c>
      <c r="BC1" s="27" t="s">
        <v>85</v>
      </c>
      <c r="BD1" s="27" t="s">
        <v>86</v>
      </c>
      <c r="BE1" s="27" t="s">
        <v>87</v>
      </c>
      <c r="BF1" s="27" t="s">
        <v>88</v>
      </c>
      <c r="BG1" s="27" t="s">
        <v>89</v>
      </c>
      <c r="BH1" s="27" t="s">
        <v>90</v>
      </c>
      <c r="BI1" s="27" t="s">
        <v>91</v>
      </c>
      <c r="BJ1" s="27" t="s">
        <v>92</v>
      </c>
      <c r="BK1" s="27" t="s">
        <v>93</v>
      </c>
      <c r="BL1" s="27" t="s">
        <v>94</v>
      </c>
    </row>
    <row r="2" spans="1:64" ht="14.15" customHeight="1" x14ac:dyDescent="0.35">
      <c r="A2" s="47" t="s">
        <v>275</v>
      </c>
      <c r="B2" s="36">
        <v>57973</v>
      </c>
      <c r="C2" s="36">
        <v>58921</v>
      </c>
      <c r="D2" s="36">
        <v>60439</v>
      </c>
      <c r="E2" s="36">
        <v>56343</v>
      </c>
      <c r="F2" s="36">
        <v>64034</v>
      </c>
      <c r="G2" s="36">
        <v>78160</v>
      </c>
      <c r="H2" s="36">
        <v>88968</v>
      </c>
      <c r="I2" s="36">
        <v>90139</v>
      </c>
      <c r="J2" s="36">
        <v>90371</v>
      </c>
      <c r="K2" s="36">
        <v>88650</v>
      </c>
      <c r="L2" s="36">
        <v>89906</v>
      </c>
      <c r="M2" s="36">
        <v>88696</v>
      </c>
      <c r="N2" s="36">
        <v>92735</v>
      </c>
      <c r="O2" s="36">
        <v>103108</v>
      </c>
      <c r="P2" s="36">
        <v>108052</v>
      </c>
      <c r="Q2" s="36">
        <v>115279</v>
      </c>
      <c r="R2" s="36">
        <v>123473</v>
      </c>
      <c r="S2" s="36">
        <v>136273</v>
      </c>
      <c r="T2" s="36">
        <v>155180</v>
      </c>
      <c r="U2" s="36">
        <v>180504</v>
      </c>
      <c r="V2" s="36">
        <v>209267</v>
      </c>
      <c r="W2" s="36">
        <v>234749</v>
      </c>
      <c r="X2" s="36">
        <v>253012</v>
      </c>
      <c r="Y2" s="36">
        <v>279024</v>
      </c>
      <c r="Z2" s="36">
        <v>299716</v>
      </c>
      <c r="AA2" s="36">
        <v>308757</v>
      </c>
      <c r="AB2" s="36">
        <v>319769</v>
      </c>
      <c r="AC2" s="36">
        <v>333593</v>
      </c>
      <c r="AD2" s="36">
        <v>328409</v>
      </c>
      <c r="AE2" s="36">
        <v>304604</v>
      </c>
      <c r="AF2" s="36">
        <v>332458</v>
      </c>
      <c r="AG2" s="36">
        <v>326774</v>
      </c>
      <c r="AH2" s="36">
        <v>319257</v>
      </c>
      <c r="AI2" s="36">
        <v>309973</v>
      </c>
      <c r="AJ2" s="36">
        <v>302751</v>
      </c>
      <c r="AK2" s="36">
        <v>309834</v>
      </c>
      <c r="AL2" s="36">
        <v>309987</v>
      </c>
      <c r="AM2" s="36">
        <v>317985</v>
      </c>
      <c r="AN2" s="36">
        <v>341403</v>
      </c>
      <c r="AO2" s="36">
        <v>349756</v>
      </c>
      <c r="AP2" s="36">
        <v>399435</v>
      </c>
      <c r="AQ2" s="36">
        <v>461565</v>
      </c>
      <c r="AR2" s="36">
        <v>515542</v>
      </c>
      <c r="AS2" s="36">
        <v>565406</v>
      </c>
      <c r="AT2" s="36">
        <v>591652</v>
      </c>
      <c r="AU2" s="36">
        <v>624086</v>
      </c>
      <c r="AV2" s="36">
        <v>700777</v>
      </c>
      <c r="AW2" s="36">
        <v>756557</v>
      </c>
      <c r="AX2" s="36">
        <v>801963</v>
      </c>
      <c r="AY2" s="36">
        <v>832823</v>
      </c>
      <c r="AZ2" s="36">
        <v>802531</v>
      </c>
      <c r="BA2" s="36">
        <v>772484</v>
      </c>
      <c r="BB2" s="36">
        <v>753078</v>
      </c>
      <c r="BC2" s="36">
        <v>749440</v>
      </c>
      <c r="BD2" s="36">
        <v>767929</v>
      </c>
      <c r="BE2" s="36">
        <v>775307</v>
      </c>
      <c r="BF2" s="36">
        <v>810146</v>
      </c>
      <c r="BG2" s="36">
        <v>885550</v>
      </c>
      <c r="BH2" s="36">
        <v>943243</v>
      </c>
      <c r="BI2" s="36">
        <v>988179</v>
      </c>
      <c r="BJ2" s="36">
        <v>1040053</v>
      </c>
      <c r="BK2" s="36">
        <v>1121863</v>
      </c>
      <c r="BL2" s="36">
        <v>1199160</v>
      </c>
    </row>
    <row r="3" spans="1:64" ht="14.15" customHeight="1" x14ac:dyDescent="0.35">
      <c r="A3" s="31" t="s">
        <v>254</v>
      </c>
      <c r="B3" s="36">
        <v>5639</v>
      </c>
      <c r="C3" s="36">
        <v>5308</v>
      </c>
      <c r="D3" s="36">
        <v>4945</v>
      </c>
      <c r="E3" s="36">
        <v>5273</v>
      </c>
      <c r="F3" s="36">
        <v>5580</v>
      </c>
      <c r="G3" s="36">
        <v>5566</v>
      </c>
      <c r="H3" s="36">
        <v>5301</v>
      </c>
      <c r="I3" s="36">
        <v>4600</v>
      </c>
      <c r="J3" s="36">
        <v>4330</v>
      </c>
      <c r="K3" s="36">
        <v>4159</v>
      </c>
      <c r="L3" s="36">
        <v>4781</v>
      </c>
      <c r="M3" s="36">
        <v>4149</v>
      </c>
      <c r="N3" s="36">
        <v>5710</v>
      </c>
      <c r="O3" s="36">
        <v>7097</v>
      </c>
      <c r="P3" s="36">
        <v>6433</v>
      </c>
      <c r="Q3" s="36">
        <v>6353</v>
      </c>
      <c r="R3" s="36">
        <v>7482</v>
      </c>
      <c r="S3" s="36">
        <v>7459</v>
      </c>
      <c r="T3" s="36">
        <v>12714</v>
      </c>
      <c r="U3" s="36">
        <v>13104</v>
      </c>
      <c r="V3" s="36">
        <v>12300</v>
      </c>
      <c r="W3" s="36">
        <v>11848</v>
      </c>
      <c r="X3" s="36">
        <v>15869</v>
      </c>
      <c r="Y3" s="36">
        <v>16169</v>
      </c>
      <c r="Z3" s="36">
        <v>14146</v>
      </c>
      <c r="AA3" s="36">
        <v>11645</v>
      </c>
      <c r="AB3" s="36">
        <v>10466</v>
      </c>
      <c r="AC3" s="36">
        <v>9583</v>
      </c>
      <c r="AD3" s="36">
        <v>13758</v>
      </c>
      <c r="AE3" s="36">
        <v>15846</v>
      </c>
      <c r="AF3" s="36">
        <v>16090</v>
      </c>
      <c r="AG3" s="36">
        <v>17218</v>
      </c>
      <c r="AH3" s="36">
        <v>17067</v>
      </c>
      <c r="AI3" s="36">
        <v>16429</v>
      </c>
      <c r="AJ3" s="36">
        <v>13487</v>
      </c>
      <c r="AK3" s="36">
        <v>15173</v>
      </c>
      <c r="AL3" s="36">
        <v>13054</v>
      </c>
      <c r="AM3" s="36">
        <v>15239</v>
      </c>
      <c r="AN3" s="36">
        <v>17213</v>
      </c>
      <c r="AO3" s="36">
        <v>16485</v>
      </c>
      <c r="AP3" s="36">
        <v>22315</v>
      </c>
      <c r="AQ3" s="36">
        <v>21199</v>
      </c>
      <c r="AR3" s="36">
        <v>26870</v>
      </c>
      <c r="AS3" s="36">
        <v>34565</v>
      </c>
      <c r="AT3" s="36">
        <v>29499</v>
      </c>
      <c r="AU3" s="36">
        <v>28482</v>
      </c>
      <c r="AV3" s="36">
        <v>28857</v>
      </c>
      <c r="AW3" s="36">
        <v>37529</v>
      </c>
      <c r="AX3" s="36">
        <v>45195</v>
      </c>
      <c r="AY3" s="36">
        <v>45685</v>
      </c>
      <c r="AZ3" s="36">
        <v>36802</v>
      </c>
      <c r="BA3" s="36">
        <v>46464</v>
      </c>
      <c r="BB3" s="36">
        <v>46879</v>
      </c>
      <c r="BC3" s="36">
        <v>52040</v>
      </c>
      <c r="BD3" s="36">
        <v>45306</v>
      </c>
      <c r="BE3" s="36">
        <v>46308</v>
      </c>
      <c r="BF3" s="36">
        <v>48875</v>
      </c>
      <c r="BG3" s="36">
        <v>53035</v>
      </c>
      <c r="BH3" s="36">
        <v>67722</v>
      </c>
      <c r="BI3" s="34">
        <v>46951</v>
      </c>
      <c r="BJ3" s="34">
        <v>71873</v>
      </c>
      <c r="BK3" s="34">
        <v>69313</v>
      </c>
      <c r="BL3" s="34">
        <v>72000</v>
      </c>
    </row>
    <row r="4" spans="1:64" ht="14.15" customHeight="1" x14ac:dyDescent="0.35">
      <c r="A4" s="48" t="s">
        <v>273</v>
      </c>
      <c r="B4" s="36">
        <v>4371</v>
      </c>
      <c r="C4" s="36">
        <v>5832</v>
      </c>
      <c r="D4" s="36">
        <v>7833</v>
      </c>
      <c r="E4" s="36">
        <v>9053</v>
      </c>
      <c r="F4" s="36">
        <v>10048</v>
      </c>
      <c r="G4" s="36">
        <v>9884</v>
      </c>
      <c r="H4" s="36">
        <v>9549</v>
      </c>
      <c r="I4" s="36">
        <v>8930</v>
      </c>
      <c r="J4" s="36">
        <v>8573</v>
      </c>
      <c r="K4" s="36">
        <v>9132</v>
      </c>
      <c r="L4" s="36">
        <v>9712</v>
      </c>
      <c r="M4" s="36">
        <v>10044</v>
      </c>
      <c r="N4" s="36">
        <v>10980</v>
      </c>
      <c r="O4" s="36">
        <v>14253</v>
      </c>
      <c r="P4" s="36">
        <v>16761</v>
      </c>
      <c r="Q4" s="36">
        <v>20538</v>
      </c>
      <c r="R4" s="36">
        <v>23900</v>
      </c>
      <c r="S4" s="36">
        <v>26548</v>
      </c>
      <c r="T4" s="36">
        <v>29845</v>
      </c>
      <c r="U4" s="36">
        <v>35202</v>
      </c>
      <c r="V4" s="36">
        <v>33724</v>
      </c>
      <c r="W4" s="36">
        <v>29959</v>
      </c>
      <c r="X4" s="36">
        <v>27970</v>
      </c>
      <c r="Y4" s="36">
        <v>27575</v>
      </c>
      <c r="Z4" s="36">
        <v>27280</v>
      </c>
      <c r="AA4" s="36">
        <v>26627</v>
      </c>
      <c r="AB4" s="36">
        <v>27717</v>
      </c>
      <c r="AC4" s="36">
        <v>31695</v>
      </c>
      <c r="AD4" s="36">
        <v>34822</v>
      </c>
      <c r="AE4" s="36">
        <v>37072</v>
      </c>
      <c r="AF4" s="36">
        <v>40889</v>
      </c>
      <c r="AG4" s="36">
        <v>41549</v>
      </c>
      <c r="AH4" s="36">
        <v>42407</v>
      </c>
      <c r="AI4" s="36">
        <v>43517</v>
      </c>
      <c r="AJ4" s="36">
        <v>41026</v>
      </c>
      <c r="AK4" s="36">
        <v>39812</v>
      </c>
      <c r="AL4" s="36">
        <v>41720</v>
      </c>
      <c r="AM4" s="36">
        <v>42938</v>
      </c>
      <c r="AN4" s="36">
        <v>42836</v>
      </c>
      <c r="AO4" s="36">
        <v>45294</v>
      </c>
      <c r="AP4" s="36">
        <v>50635</v>
      </c>
      <c r="AQ4" s="36">
        <v>49773</v>
      </c>
      <c r="AR4" s="36">
        <v>53576</v>
      </c>
      <c r="AS4" s="36">
        <v>52020</v>
      </c>
      <c r="AT4" s="36">
        <v>57394</v>
      </c>
      <c r="AU4" s="36">
        <v>55276</v>
      </c>
      <c r="AV4" s="36">
        <v>59224</v>
      </c>
      <c r="AW4" s="36">
        <v>68745</v>
      </c>
      <c r="AX4" s="36">
        <v>85385</v>
      </c>
      <c r="AY4" s="36">
        <v>87113</v>
      </c>
      <c r="AZ4" s="36">
        <v>85549</v>
      </c>
      <c r="BA4" s="36">
        <v>78095</v>
      </c>
      <c r="BB4" s="36">
        <v>70011</v>
      </c>
      <c r="BC4" s="36">
        <v>72286</v>
      </c>
      <c r="BD4" s="36">
        <v>72976</v>
      </c>
      <c r="BE4" s="36">
        <v>72150</v>
      </c>
      <c r="BF4" s="36">
        <v>72780</v>
      </c>
      <c r="BG4" s="36">
        <v>75291</v>
      </c>
      <c r="BH4" s="36">
        <v>83555</v>
      </c>
      <c r="BI4" s="36">
        <v>85662</v>
      </c>
      <c r="BJ4" s="36">
        <v>69656</v>
      </c>
      <c r="BK4" s="36">
        <v>88257</v>
      </c>
      <c r="BL4" s="36">
        <v>113516</v>
      </c>
    </row>
    <row r="5" spans="1:64" ht="14.15" customHeight="1" x14ac:dyDescent="0.35">
      <c r="A5" s="57" t="s">
        <v>279</v>
      </c>
      <c r="B5" s="36">
        <v>5714</v>
      </c>
      <c r="C5" s="36">
        <v>4658</v>
      </c>
      <c r="D5" s="36">
        <v>5660</v>
      </c>
      <c r="E5" s="36">
        <v>6920</v>
      </c>
      <c r="F5" s="36">
        <v>8975</v>
      </c>
      <c r="G5" s="36">
        <v>9915</v>
      </c>
      <c r="H5" s="36">
        <v>10596</v>
      </c>
      <c r="I5" s="36">
        <v>6526</v>
      </c>
      <c r="J5" s="36">
        <v>9120</v>
      </c>
      <c r="K5" s="36">
        <v>10418</v>
      </c>
      <c r="L5" s="36">
        <v>10614</v>
      </c>
      <c r="M5" s="36">
        <v>9997</v>
      </c>
      <c r="N5" s="36">
        <v>13877</v>
      </c>
      <c r="O5" s="36">
        <v>20865</v>
      </c>
      <c r="P5" s="36">
        <v>21358</v>
      </c>
      <c r="Q5" s="36">
        <v>17922</v>
      </c>
      <c r="R5" s="36">
        <v>21775</v>
      </c>
      <c r="S5" s="36">
        <v>22765</v>
      </c>
      <c r="T5" s="36">
        <v>30719</v>
      </c>
      <c r="U5" s="36">
        <v>31585</v>
      </c>
      <c r="V5" s="36">
        <v>26881</v>
      </c>
      <c r="W5" s="36">
        <v>28015</v>
      </c>
      <c r="X5" s="36">
        <v>30628</v>
      </c>
      <c r="Y5" s="36">
        <v>30175</v>
      </c>
      <c r="Z5" s="36">
        <v>33171</v>
      </c>
      <c r="AA5" s="36">
        <v>32656</v>
      </c>
      <c r="AB5" s="36">
        <v>46435</v>
      </c>
      <c r="AC5" s="36">
        <v>57317</v>
      </c>
      <c r="AD5" s="36">
        <v>97084</v>
      </c>
      <c r="AE5" s="36">
        <v>107369</v>
      </c>
      <c r="AF5" s="36">
        <v>44250</v>
      </c>
      <c r="AG5" s="36">
        <v>35004</v>
      </c>
      <c r="AH5" s="36">
        <v>38066</v>
      </c>
      <c r="AI5" s="36">
        <v>39350</v>
      </c>
      <c r="AJ5" s="36">
        <v>39565</v>
      </c>
      <c r="AK5" s="36">
        <v>40767</v>
      </c>
      <c r="AL5" s="36">
        <v>41350</v>
      </c>
      <c r="AM5" s="36">
        <v>45173</v>
      </c>
      <c r="AN5" s="36">
        <v>50060</v>
      </c>
      <c r="AO5" s="36">
        <v>60178</v>
      </c>
      <c r="AP5" s="36">
        <v>61833</v>
      </c>
      <c r="AQ5" s="36">
        <v>67796</v>
      </c>
      <c r="AR5" s="36">
        <v>69892</v>
      </c>
      <c r="AS5" s="36">
        <v>75460</v>
      </c>
      <c r="AT5" s="36">
        <v>76431</v>
      </c>
      <c r="AU5" s="36">
        <v>73392</v>
      </c>
      <c r="AV5" s="36">
        <v>105486</v>
      </c>
      <c r="AW5" s="36">
        <v>375824</v>
      </c>
      <c r="AX5" s="36">
        <v>91972</v>
      </c>
      <c r="AY5" s="36">
        <v>92966</v>
      </c>
      <c r="AZ5" s="36">
        <v>133666</v>
      </c>
      <c r="BA5" s="36">
        <v>91673</v>
      </c>
      <c r="BB5" s="36">
        <v>91915</v>
      </c>
      <c r="BC5" s="36">
        <v>89533</v>
      </c>
      <c r="BD5" s="36">
        <v>92566</v>
      </c>
      <c r="BE5" s="36">
        <v>93552</v>
      </c>
      <c r="BF5" s="36">
        <v>92785</v>
      </c>
      <c r="BG5" s="36">
        <v>95756</v>
      </c>
      <c r="BH5" s="36">
        <v>717694</v>
      </c>
      <c r="BI5" s="36">
        <v>462138</v>
      </c>
      <c r="BJ5" s="36">
        <v>131024</v>
      </c>
      <c r="BK5" s="36">
        <v>227182</v>
      </c>
      <c r="BL5" s="36">
        <v>172614</v>
      </c>
    </row>
    <row r="6" spans="1:64" ht="14.15" customHeight="1" x14ac:dyDescent="0.35">
      <c r="A6" s="49" t="s">
        <v>282</v>
      </c>
      <c r="B6" s="36">
        <v>4031</v>
      </c>
      <c r="C6" s="36">
        <v>4958</v>
      </c>
      <c r="D6" s="36">
        <v>5542</v>
      </c>
      <c r="E6" s="36">
        <v>5068</v>
      </c>
      <c r="F6" s="36">
        <v>3552</v>
      </c>
      <c r="G6" s="36">
        <v>4098</v>
      </c>
      <c r="H6" s="36">
        <v>5926</v>
      </c>
      <c r="I6" s="36">
        <v>7378</v>
      </c>
      <c r="J6" s="36">
        <v>7558</v>
      </c>
      <c r="K6" s="36">
        <v>7207</v>
      </c>
      <c r="L6" s="36">
        <v>8650</v>
      </c>
      <c r="M6" s="36">
        <v>9426</v>
      </c>
      <c r="N6" s="36">
        <v>6423</v>
      </c>
      <c r="O6" s="36">
        <v>7319</v>
      </c>
      <c r="P6" s="36">
        <v>8551</v>
      </c>
      <c r="Q6" s="36">
        <v>13755</v>
      </c>
      <c r="R6" s="36">
        <v>23142</v>
      </c>
      <c r="S6" s="36">
        <v>21656</v>
      </c>
      <c r="T6" s="36">
        <v>20026</v>
      </c>
      <c r="U6" s="36">
        <v>21809</v>
      </c>
      <c r="V6" s="36">
        <v>24213</v>
      </c>
      <c r="W6" s="36">
        <v>30371</v>
      </c>
      <c r="X6" s="36">
        <v>21150</v>
      </c>
      <c r="Y6" s="36">
        <v>33103</v>
      </c>
      <c r="Z6" s="36">
        <v>38552</v>
      </c>
      <c r="AA6" s="36">
        <v>31515</v>
      </c>
      <c r="AB6" s="36">
        <v>22381</v>
      </c>
      <c r="AC6" s="36">
        <v>22060</v>
      </c>
      <c r="AD6" s="36">
        <v>20168</v>
      </c>
      <c r="AE6" s="36">
        <v>21696</v>
      </c>
      <c r="AF6" s="36">
        <v>21758</v>
      </c>
      <c r="AG6" s="36">
        <v>29227</v>
      </c>
      <c r="AH6" s="36">
        <v>25415</v>
      </c>
      <c r="AI6" s="36">
        <v>20417</v>
      </c>
      <c r="AJ6" s="36">
        <v>19776</v>
      </c>
      <c r="AK6" s="36">
        <v>19938</v>
      </c>
      <c r="AL6" s="36">
        <v>21848</v>
      </c>
      <c r="AM6" s="36">
        <v>34744</v>
      </c>
      <c r="AN6" s="36">
        <v>47081</v>
      </c>
      <c r="AO6" s="36">
        <v>38025</v>
      </c>
      <c r="AP6" s="36">
        <v>34946</v>
      </c>
      <c r="AQ6" s="36">
        <v>41346</v>
      </c>
      <c r="AR6" s="36">
        <v>31259</v>
      </c>
      <c r="AS6" s="36">
        <v>52827</v>
      </c>
      <c r="AT6" s="36">
        <v>80434</v>
      </c>
      <c r="AU6" s="36">
        <v>47229</v>
      </c>
      <c r="AV6" s="36">
        <v>42339</v>
      </c>
      <c r="AW6" s="36">
        <v>49913</v>
      </c>
      <c r="AX6" s="36">
        <v>45250</v>
      </c>
      <c r="AY6" s="36">
        <v>44545</v>
      </c>
      <c r="AZ6" s="36">
        <v>42923</v>
      </c>
      <c r="BA6" s="36">
        <v>62013</v>
      </c>
      <c r="BB6" s="36">
        <v>45056</v>
      </c>
      <c r="BC6" s="36">
        <v>39169</v>
      </c>
      <c r="BD6" s="36">
        <v>38484</v>
      </c>
      <c r="BE6" s="36">
        <v>43779</v>
      </c>
      <c r="BF6" s="36">
        <v>63948</v>
      </c>
      <c r="BG6" s="36">
        <v>65041</v>
      </c>
      <c r="BH6" s="36">
        <v>129176</v>
      </c>
      <c r="BI6" s="36">
        <v>92053</v>
      </c>
      <c r="BJ6" s="36">
        <v>103028</v>
      </c>
      <c r="BK6" s="36">
        <v>120204</v>
      </c>
      <c r="BL6" s="36">
        <v>118056</v>
      </c>
    </row>
    <row r="7" spans="1:64" ht="14.15" customHeight="1" x14ac:dyDescent="0.35">
      <c r="A7" s="31" t="s">
        <v>280</v>
      </c>
      <c r="B7" s="36">
        <v>1241</v>
      </c>
      <c r="C7" s="36">
        <v>1458</v>
      </c>
      <c r="D7" s="36">
        <v>1555</v>
      </c>
      <c r="E7" s="36">
        <v>2140</v>
      </c>
      <c r="F7" s="36">
        <v>4363</v>
      </c>
      <c r="G7" s="36">
        <v>6453</v>
      </c>
      <c r="H7" s="36">
        <v>7634</v>
      </c>
      <c r="I7" s="36">
        <v>7548</v>
      </c>
      <c r="J7" s="36">
        <v>8634</v>
      </c>
      <c r="K7" s="36">
        <v>9849</v>
      </c>
      <c r="L7" s="36">
        <v>12529</v>
      </c>
      <c r="M7" s="36">
        <v>12744</v>
      </c>
      <c r="N7" s="36">
        <v>12455</v>
      </c>
      <c r="O7" s="36">
        <v>16022</v>
      </c>
      <c r="P7" s="36">
        <v>18910</v>
      </c>
      <c r="Q7" s="36">
        <v>21104</v>
      </c>
      <c r="R7" s="36">
        <v>26706</v>
      </c>
      <c r="S7" s="36">
        <v>30218</v>
      </c>
      <c r="T7" s="36">
        <v>31835</v>
      </c>
      <c r="U7" s="36">
        <v>33146</v>
      </c>
      <c r="V7" s="36">
        <v>26609</v>
      </c>
      <c r="W7" s="36">
        <v>26192</v>
      </c>
      <c r="X7" s="36">
        <v>26913</v>
      </c>
      <c r="Y7" s="36">
        <v>28584</v>
      </c>
      <c r="Z7" s="36">
        <v>29771</v>
      </c>
      <c r="AA7" s="36">
        <v>28915</v>
      </c>
      <c r="AB7" s="36">
        <v>30939</v>
      </c>
      <c r="AC7" s="36">
        <v>35314</v>
      </c>
      <c r="AD7" s="36">
        <v>37167</v>
      </c>
      <c r="AE7" s="36">
        <v>41260</v>
      </c>
      <c r="AF7" s="36">
        <v>42807</v>
      </c>
      <c r="AG7" s="36">
        <v>47455</v>
      </c>
      <c r="AH7" s="36">
        <v>43337</v>
      </c>
      <c r="AI7" s="36">
        <v>51067</v>
      </c>
      <c r="AJ7" s="36">
        <v>48334</v>
      </c>
      <c r="AK7" s="36">
        <v>49014</v>
      </c>
      <c r="AL7" s="36">
        <v>50534</v>
      </c>
      <c r="AM7" s="36">
        <v>50608</v>
      </c>
      <c r="AN7" s="36">
        <v>53766</v>
      </c>
      <c r="AO7" s="36">
        <v>57089</v>
      </c>
      <c r="AP7" s="36">
        <v>70592</v>
      </c>
      <c r="AQ7" s="36">
        <v>82733</v>
      </c>
      <c r="AR7" s="36">
        <v>87997</v>
      </c>
      <c r="AS7" s="36">
        <v>97553</v>
      </c>
      <c r="AT7" s="36">
        <v>118473</v>
      </c>
      <c r="AU7" s="36">
        <v>91647</v>
      </c>
      <c r="AV7" s="36">
        <v>91304</v>
      </c>
      <c r="AW7" s="36">
        <v>79744</v>
      </c>
      <c r="AX7" s="36">
        <v>128595</v>
      </c>
      <c r="AY7" s="36">
        <v>101256</v>
      </c>
      <c r="AZ7" s="36">
        <v>90822</v>
      </c>
      <c r="BA7" s="36">
        <v>72860</v>
      </c>
      <c r="BB7" s="36">
        <v>90610</v>
      </c>
      <c r="BC7" s="36">
        <v>122035</v>
      </c>
      <c r="BD7" s="36">
        <v>109709</v>
      </c>
      <c r="BE7" s="36">
        <v>143953</v>
      </c>
      <c r="BF7" s="36">
        <v>95503</v>
      </c>
      <c r="BG7" s="36">
        <v>136700</v>
      </c>
      <c r="BH7" s="36">
        <v>237754</v>
      </c>
      <c r="BI7" s="34">
        <v>298406</v>
      </c>
      <c r="BJ7" s="34">
        <v>677305</v>
      </c>
      <c r="BK7" s="34">
        <v>0</v>
      </c>
      <c r="BL7" s="34">
        <v>306370</v>
      </c>
    </row>
    <row r="8" spans="1:64" ht="14.15" customHeight="1" x14ac:dyDescent="0.35">
      <c r="A8" s="51" t="s">
        <v>276</v>
      </c>
      <c r="B8" s="35">
        <v>1198</v>
      </c>
      <c r="C8" s="35">
        <v>1451</v>
      </c>
      <c r="D8" s="35">
        <v>1788</v>
      </c>
      <c r="E8" s="35">
        <v>1791</v>
      </c>
      <c r="F8" s="35">
        <v>2607</v>
      </c>
      <c r="G8" s="35">
        <v>6099</v>
      </c>
      <c r="H8" s="35">
        <v>9039</v>
      </c>
      <c r="I8" s="35">
        <v>10857</v>
      </c>
      <c r="J8" s="35">
        <v>12120</v>
      </c>
      <c r="K8" s="35">
        <v>13465</v>
      </c>
      <c r="L8" s="35">
        <v>16153</v>
      </c>
      <c r="M8" s="35">
        <v>17408</v>
      </c>
      <c r="N8" s="35">
        <v>20372</v>
      </c>
      <c r="O8" s="35">
        <v>25805</v>
      </c>
      <c r="P8" s="35">
        <v>31568</v>
      </c>
      <c r="Q8" s="35">
        <v>36647</v>
      </c>
      <c r="R8" s="35">
        <v>41292</v>
      </c>
      <c r="S8" s="35">
        <v>46989</v>
      </c>
      <c r="T8" s="35">
        <v>55259</v>
      </c>
      <c r="U8" s="35">
        <v>66015</v>
      </c>
      <c r="V8" s="35">
        <v>74012</v>
      </c>
      <c r="W8" s="35">
        <v>81231</v>
      </c>
      <c r="X8" s="35">
        <v>87960</v>
      </c>
      <c r="Y8" s="35">
        <v>99368</v>
      </c>
      <c r="Z8" s="35">
        <v>106099</v>
      </c>
      <c r="AA8" s="35">
        <v>115087</v>
      </c>
      <c r="AB8" s="35">
        <v>123349</v>
      </c>
      <c r="AC8" s="35">
        <v>133354</v>
      </c>
      <c r="AD8" s="35">
        <v>155802</v>
      </c>
      <c r="AE8" s="35">
        <v>175628</v>
      </c>
      <c r="AF8" s="35">
        <v>208439</v>
      </c>
      <c r="AG8" s="35">
        <v>229873</v>
      </c>
      <c r="AH8" s="35">
        <v>251798</v>
      </c>
      <c r="AI8" s="35">
        <v>275207</v>
      </c>
      <c r="AJ8" s="35">
        <v>293567</v>
      </c>
      <c r="AK8" s="35">
        <v>313806</v>
      </c>
      <c r="AL8" s="35">
        <v>324225</v>
      </c>
      <c r="AM8" s="35">
        <v>331492</v>
      </c>
      <c r="AN8" s="35">
        <v>351615</v>
      </c>
      <c r="AO8" s="35">
        <v>389622</v>
      </c>
      <c r="AP8" s="35">
        <v>427326</v>
      </c>
      <c r="AQ8" s="35">
        <v>469038</v>
      </c>
      <c r="AR8" s="35">
        <v>509508</v>
      </c>
      <c r="AS8" s="35">
        <v>549243</v>
      </c>
      <c r="AT8" s="35">
        <v>582647</v>
      </c>
      <c r="AU8" s="35">
        <v>641832</v>
      </c>
      <c r="AV8" s="35">
        <v>671384</v>
      </c>
      <c r="AW8" s="35">
        <v>764461</v>
      </c>
      <c r="AX8" s="35">
        <v>820717</v>
      </c>
      <c r="AY8" s="35">
        <v>858134</v>
      </c>
      <c r="AZ8" s="35">
        <v>818548</v>
      </c>
      <c r="BA8" s="35">
        <v>856090</v>
      </c>
      <c r="BB8" s="35">
        <v>921185</v>
      </c>
      <c r="BC8" s="35">
        <v>1028459</v>
      </c>
      <c r="BD8" s="35">
        <v>1105861</v>
      </c>
      <c r="BE8" s="35">
        <v>1130459</v>
      </c>
      <c r="BF8" s="35">
        <v>1139925</v>
      </c>
      <c r="BG8" s="35">
        <v>1235812</v>
      </c>
      <c r="BH8" s="35">
        <v>1523807</v>
      </c>
      <c r="BI8" s="35">
        <v>1492908</v>
      </c>
      <c r="BJ8" s="35">
        <v>1669175</v>
      </c>
      <c r="BK8" s="35">
        <v>1736099</v>
      </c>
      <c r="BL8" s="35">
        <v>1785422</v>
      </c>
    </row>
    <row r="9" spans="1:64" ht="14.15" customHeight="1" x14ac:dyDescent="0.35">
      <c r="A9" s="53" t="s">
        <v>277</v>
      </c>
      <c r="B9" s="35">
        <v>23563</v>
      </c>
      <c r="C9" s="35">
        <v>25092</v>
      </c>
      <c r="D9" s="35">
        <v>26270</v>
      </c>
      <c r="E9" s="35">
        <v>26922</v>
      </c>
      <c r="F9" s="35">
        <v>30365</v>
      </c>
      <c r="G9" s="35">
        <v>31978</v>
      </c>
      <c r="H9" s="35">
        <v>35660</v>
      </c>
      <c r="I9" s="35">
        <v>40364</v>
      </c>
      <c r="J9" s="35">
        <v>45915</v>
      </c>
      <c r="K9" s="35">
        <v>58808</v>
      </c>
      <c r="L9" s="35">
        <v>67795</v>
      </c>
      <c r="M9" s="35">
        <v>77355</v>
      </c>
      <c r="N9" s="35">
        <v>89567</v>
      </c>
      <c r="O9" s="35">
        <v>114819</v>
      </c>
      <c r="P9" s="35">
        <v>134683</v>
      </c>
      <c r="Q9" s="35">
        <v>146106</v>
      </c>
      <c r="R9" s="35">
        <v>155353</v>
      </c>
      <c r="S9" s="35">
        <v>170437</v>
      </c>
      <c r="T9" s="35">
        <v>205095</v>
      </c>
      <c r="U9" s="35">
        <v>239870</v>
      </c>
      <c r="V9" s="35">
        <v>264102</v>
      </c>
      <c r="W9" s="35">
        <v>293742</v>
      </c>
      <c r="X9" s="35">
        <v>291601</v>
      </c>
      <c r="Y9" s="35">
        <v>317625</v>
      </c>
      <c r="Z9" s="35">
        <v>319412</v>
      </c>
      <c r="AA9" s="35">
        <v>331457</v>
      </c>
      <c r="AB9" s="35">
        <v>349728</v>
      </c>
      <c r="AC9" s="35">
        <v>370096</v>
      </c>
      <c r="AD9" s="35">
        <v>397406</v>
      </c>
      <c r="AE9" s="35">
        <v>441603</v>
      </c>
      <c r="AF9" s="35">
        <v>487241</v>
      </c>
      <c r="AG9" s="35">
        <v>514673</v>
      </c>
      <c r="AH9" s="35">
        <v>536798</v>
      </c>
      <c r="AI9" s="35">
        <v>559604</v>
      </c>
      <c r="AJ9" s="35">
        <v>579370</v>
      </c>
      <c r="AK9" s="35">
        <v>600237</v>
      </c>
      <c r="AL9" s="35">
        <v>616913</v>
      </c>
      <c r="AM9" s="35">
        <v>632454</v>
      </c>
      <c r="AN9" s="35">
        <v>663096</v>
      </c>
      <c r="AO9" s="35">
        <v>702682</v>
      </c>
      <c r="AP9" s="35">
        <v>768650</v>
      </c>
      <c r="AQ9" s="35">
        <v>809254</v>
      </c>
      <c r="AR9" s="35">
        <v>828575</v>
      </c>
      <c r="AS9" s="35">
        <v>869105</v>
      </c>
      <c r="AT9" s="35">
        <v>900974</v>
      </c>
      <c r="AU9" s="35">
        <v>952084</v>
      </c>
      <c r="AV9" s="35">
        <v>1048238</v>
      </c>
      <c r="AW9" s="35">
        <v>1216043</v>
      </c>
      <c r="AX9" s="35">
        <v>1328843</v>
      </c>
      <c r="AY9" s="35">
        <v>1328080</v>
      </c>
      <c r="AZ9" s="35">
        <v>1314538</v>
      </c>
      <c r="BA9" s="35">
        <v>1349962</v>
      </c>
      <c r="BB9" s="35">
        <v>1364129</v>
      </c>
      <c r="BC9" s="35">
        <v>1396553</v>
      </c>
      <c r="BD9" s="35">
        <v>1430165</v>
      </c>
      <c r="BE9" s="35">
        <v>1448321</v>
      </c>
      <c r="BF9" s="35">
        <v>1483080</v>
      </c>
      <c r="BG9" s="35">
        <v>1559196</v>
      </c>
      <c r="BH9" s="35">
        <v>2359455</v>
      </c>
      <c r="BI9" s="35">
        <v>2782315</v>
      </c>
      <c r="BJ9" s="35">
        <v>2084760</v>
      </c>
      <c r="BK9" s="35">
        <v>2128973</v>
      </c>
      <c r="BL9" s="35">
        <v>2131466</v>
      </c>
    </row>
    <row r="10" spans="1:64" ht="14.15" customHeight="1" x14ac:dyDescent="0.35">
      <c r="A10" s="55" t="s">
        <v>281</v>
      </c>
      <c r="B10" s="36">
        <v>1478</v>
      </c>
      <c r="C10" s="36">
        <v>1695</v>
      </c>
      <c r="D10" s="36">
        <v>2007</v>
      </c>
      <c r="E10" s="36">
        <v>2035</v>
      </c>
      <c r="F10" s="36">
        <v>2167</v>
      </c>
      <c r="G10" s="36">
        <v>2337</v>
      </c>
      <c r="H10" s="36">
        <v>2416</v>
      </c>
      <c r="I10" s="36">
        <v>2705</v>
      </c>
      <c r="J10" s="36">
        <v>3279</v>
      </c>
      <c r="K10" s="36">
        <v>3749</v>
      </c>
      <c r="L10" s="36">
        <v>4644</v>
      </c>
      <c r="M10" s="36">
        <v>11948</v>
      </c>
      <c r="N10" s="36">
        <v>12537</v>
      </c>
      <c r="O10" s="36">
        <v>13402</v>
      </c>
      <c r="P10" s="36">
        <v>13136</v>
      </c>
      <c r="Q10" s="36">
        <v>16492</v>
      </c>
      <c r="R10" s="36">
        <v>15884</v>
      </c>
      <c r="S10" s="36">
        <v>16527</v>
      </c>
      <c r="T10" s="36">
        <v>17677</v>
      </c>
      <c r="U10" s="36">
        <v>16281</v>
      </c>
      <c r="V10" s="36">
        <v>15703</v>
      </c>
      <c r="W10" s="36">
        <v>16427</v>
      </c>
      <c r="X10" s="36">
        <v>17557</v>
      </c>
      <c r="Y10" s="36">
        <v>17941</v>
      </c>
      <c r="Z10" s="36">
        <v>19226</v>
      </c>
      <c r="AA10" s="36">
        <v>15202</v>
      </c>
      <c r="AB10" s="36">
        <v>18796</v>
      </c>
      <c r="AC10" s="36">
        <v>18961</v>
      </c>
      <c r="AD10" s="36">
        <v>20647</v>
      </c>
      <c r="AE10" s="36">
        <v>24054</v>
      </c>
      <c r="AF10" s="36">
        <v>27533</v>
      </c>
      <c r="AG10" s="36">
        <v>28137</v>
      </c>
      <c r="AH10" s="36">
        <v>26675</v>
      </c>
      <c r="AI10" s="36">
        <v>30307</v>
      </c>
      <c r="AJ10" s="36">
        <v>29653</v>
      </c>
      <c r="AK10" s="36">
        <v>33164</v>
      </c>
      <c r="AL10" s="36">
        <v>38903</v>
      </c>
      <c r="AM10" s="36">
        <v>41899</v>
      </c>
      <c r="AN10" s="36">
        <v>41512</v>
      </c>
      <c r="AO10" s="36">
        <v>44559</v>
      </c>
      <c r="AP10" s="36">
        <v>52012</v>
      </c>
      <c r="AQ10" s="36">
        <v>58504</v>
      </c>
      <c r="AR10" s="36">
        <v>67914</v>
      </c>
      <c r="AS10" s="36">
        <v>57016</v>
      </c>
      <c r="AT10" s="36">
        <v>59193</v>
      </c>
      <c r="AU10" s="36">
        <v>59787</v>
      </c>
      <c r="AV10" s="36">
        <v>68420</v>
      </c>
      <c r="AW10" s="36">
        <v>74598</v>
      </c>
      <c r="AX10" s="36">
        <v>77397</v>
      </c>
      <c r="AY10" s="36">
        <v>83532</v>
      </c>
      <c r="AZ10" s="36">
        <v>84312</v>
      </c>
      <c r="BA10" s="36">
        <v>80338</v>
      </c>
      <c r="BB10" s="36">
        <v>77370</v>
      </c>
      <c r="BC10" s="36">
        <v>72862</v>
      </c>
      <c r="BD10" s="36">
        <v>78914</v>
      </c>
      <c r="BE10" s="36">
        <v>81765</v>
      </c>
      <c r="BF10" s="36">
        <v>84303</v>
      </c>
      <c r="BG10" s="36">
        <v>89320</v>
      </c>
      <c r="BH10" s="36">
        <v>252106</v>
      </c>
      <c r="BI10" s="36">
        <v>345371</v>
      </c>
      <c r="BJ10" s="36">
        <v>204539</v>
      </c>
      <c r="BK10" s="36">
        <v>118631</v>
      </c>
      <c r="BL10" s="36">
        <v>119109</v>
      </c>
    </row>
    <row r="11" spans="1:64" ht="14.15" customHeight="1" x14ac:dyDescent="0.35">
      <c r="A11" s="31" t="s">
        <v>267</v>
      </c>
      <c r="B11" s="36">
        <v>6889</v>
      </c>
      <c r="C11" s="36">
        <v>7740</v>
      </c>
      <c r="D11" s="36">
        <v>8199</v>
      </c>
      <c r="E11" s="36">
        <v>8591</v>
      </c>
      <c r="F11" s="36">
        <v>9386</v>
      </c>
      <c r="G11" s="36">
        <v>10268</v>
      </c>
      <c r="H11" s="36">
        <v>11090</v>
      </c>
      <c r="I11" s="36">
        <v>12699</v>
      </c>
      <c r="J11" s="36">
        <v>14380</v>
      </c>
      <c r="K11" s="36">
        <v>14841</v>
      </c>
      <c r="L11" s="36">
        <v>15478</v>
      </c>
      <c r="M11" s="36">
        <v>17349</v>
      </c>
      <c r="N11" s="36">
        <v>21449</v>
      </c>
      <c r="O11" s="36">
        <v>23244</v>
      </c>
      <c r="P11" s="36">
        <v>26727</v>
      </c>
      <c r="Q11" s="36">
        <v>29901</v>
      </c>
      <c r="R11" s="36">
        <v>35458</v>
      </c>
      <c r="S11" s="36">
        <v>42633</v>
      </c>
      <c r="T11" s="36">
        <v>52533</v>
      </c>
      <c r="U11" s="36">
        <v>68766</v>
      </c>
      <c r="V11" s="36">
        <v>85032</v>
      </c>
      <c r="W11" s="36">
        <v>89808</v>
      </c>
      <c r="X11" s="36">
        <v>111102</v>
      </c>
      <c r="Y11" s="36">
        <v>129478</v>
      </c>
      <c r="Z11" s="36">
        <v>136017</v>
      </c>
      <c r="AA11" s="36">
        <v>138611</v>
      </c>
      <c r="AB11" s="36">
        <v>151803</v>
      </c>
      <c r="AC11" s="36">
        <v>168981</v>
      </c>
      <c r="AD11" s="36">
        <v>184347</v>
      </c>
      <c r="AE11" s="36">
        <v>194448</v>
      </c>
      <c r="AF11" s="36">
        <v>199344</v>
      </c>
      <c r="AG11" s="36">
        <v>198713</v>
      </c>
      <c r="AH11" s="36">
        <v>202932</v>
      </c>
      <c r="AI11" s="36">
        <v>232134</v>
      </c>
      <c r="AJ11" s="36">
        <v>241053</v>
      </c>
      <c r="AK11" s="36">
        <v>243984</v>
      </c>
      <c r="AL11" s="36">
        <v>241118</v>
      </c>
      <c r="AM11" s="36">
        <v>229755</v>
      </c>
      <c r="AN11" s="36">
        <v>222949</v>
      </c>
      <c r="AO11" s="36">
        <v>206167</v>
      </c>
      <c r="AP11" s="36">
        <v>170949</v>
      </c>
      <c r="AQ11" s="36">
        <v>153073</v>
      </c>
      <c r="AR11" s="36">
        <v>160245</v>
      </c>
      <c r="AS11" s="36">
        <v>183986</v>
      </c>
      <c r="AT11" s="36">
        <v>226603</v>
      </c>
      <c r="AU11" s="36">
        <v>237109</v>
      </c>
      <c r="AV11" s="36">
        <v>252757</v>
      </c>
      <c r="AW11" s="36">
        <v>186902</v>
      </c>
      <c r="AX11" s="36">
        <v>196194</v>
      </c>
      <c r="AY11" s="36">
        <v>229962</v>
      </c>
      <c r="AZ11" s="36">
        <v>220408</v>
      </c>
      <c r="BA11" s="36">
        <v>220885</v>
      </c>
      <c r="BB11" s="36">
        <v>228956</v>
      </c>
      <c r="BC11" s="36">
        <v>223181</v>
      </c>
      <c r="BD11" s="36">
        <v>240033</v>
      </c>
      <c r="BE11" s="36">
        <v>262551</v>
      </c>
      <c r="BF11" s="36">
        <v>324975</v>
      </c>
      <c r="BG11" s="36">
        <v>375158</v>
      </c>
      <c r="BH11" s="36">
        <v>345470</v>
      </c>
      <c r="BI11" s="34">
        <v>352338</v>
      </c>
      <c r="BJ11" s="34">
        <v>475887</v>
      </c>
      <c r="BK11" s="34">
        <v>658267</v>
      </c>
      <c r="BL11" s="34">
        <v>879879</v>
      </c>
    </row>
    <row r="12" spans="1:64" ht="14.15" customHeight="1" x14ac:dyDescent="0.35">
      <c r="A12" s="3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0AF88-63F9-4CA6-9929-F10ECC4A17F6}">
  <dimension ref="A1:Q86"/>
  <sheetViews>
    <sheetView workbookViewId="0">
      <selection activeCell="I16" sqref="I16"/>
    </sheetView>
  </sheetViews>
  <sheetFormatPr defaultRowHeight="14.5" x14ac:dyDescent="0.35"/>
  <cols>
    <col min="2" max="2" width="9" bestFit="1" customWidth="1"/>
    <col min="3" max="3" width="12.7265625" customWidth="1"/>
    <col min="4" max="4" width="8.08984375" bestFit="1" customWidth="1"/>
    <col min="5" max="5" width="9" bestFit="1" customWidth="1"/>
  </cols>
  <sheetData>
    <row r="1" spans="1:17" ht="39" x14ac:dyDescent="0.35">
      <c r="A1" s="41" t="s">
        <v>98</v>
      </c>
      <c r="B1" s="41" t="s">
        <v>271</v>
      </c>
      <c r="C1" s="41" t="s">
        <v>295</v>
      </c>
      <c r="D1" s="41" t="s">
        <v>296</v>
      </c>
      <c r="E1" s="41" t="s">
        <v>283</v>
      </c>
    </row>
    <row r="2" spans="1:17" x14ac:dyDescent="0.35">
      <c r="A2" s="39" t="s">
        <v>10</v>
      </c>
      <c r="B2" s="40">
        <v>50696</v>
      </c>
      <c r="C2" s="40">
        <v>7924</v>
      </c>
      <c r="D2" s="40">
        <v>2458</v>
      </c>
      <c r="E2" s="40">
        <v>40314</v>
      </c>
      <c r="G2" s="43" t="s">
        <v>270</v>
      </c>
      <c r="H2" s="43"/>
      <c r="I2" s="43"/>
      <c r="J2" s="43"/>
      <c r="K2" s="43"/>
      <c r="L2" s="43"/>
      <c r="M2" s="43"/>
      <c r="N2" s="43"/>
      <c r="O2" s="43"/>
      <c r="P2" s="43"/>
      <c r="Q2" s="43"/>
    </row>
    <row r="3" spans="1:17" x14ac:dyDescent="0.35">
      <c r="A3" s="39" t="s">
        <v>11</v>
      </c>
      <c r="B3" s="40">
        <v>57531</v>
      </c>
      <c r="C3" s="40">
        <v>9308</v>
      </c>
      <c r="D3" s="40">
        <v>2180</v>
      </c>
      <c r="E3" s="40">
        <v>46043</v>
      </c>
    </row>
    <row r="4" spans="1:17" x14ac:dyDescent="0.35">
      <c r="A4" s="39" t="s">
        <v>12</v>
      </c>
      <c r="B4" s="40">
        <v>79200</v>
      </c>
      <c r="C4" s="40">
        <v>11447</v>
      </c>
      <c r="D4" s="40">
        <v>2640</v>
      </c>
      <c r="E4" s="40">
        <v>65113</v>
      </c>
    </row>
    <row r="5" spans="1:17" x14ac:dyDescent="0.35">
      <c r="A5" s="39" t="s">
        <v>13</v>
      </c>
      <c r="B5" s="40">
        <v>142648</v>
      </c>
      <c r="C5" s="40">
        <v>14882</v>
      </c>
      <c r="D5" s="40">
        <v>7149</v>
      </c>
      <c r="E5" s="40">
        <v>120617</v>
      </c>
    </row>
    <row r="6" spans="1:17" x14ac:dyDescent="0.35">
      <c r="A6" s="39" t="s">
        <v>14</v>
      </c>
      <c r="B6" s="40">
        <v>204079</v>
      </c>
      <c r="C6" s="40">
        <v>19283</v>
      </c>
      <c r="D6" s="40">
        <v>14899</v>
      </c>
      <c r="E6" s="40">
        <v>169897</v>
      </c>
    </row>
    <row r="7" spans="1:17" x14ac:dyDescent="0.35">
      <c r="A7" s="39" t="s">
        <v>15</v>
      </c>
      <c r="B7" s="40">
        <v>260123</v>
      </c>
      <c r="C7" s="40">
        <v>24941</v>
      </c>
      <c r="D7" s="40">
        <v>21792</v>
      </c>
      <c r="E7" s="40">
        <v>213390</v>
      </c>
    </row>
    <row r="8" spans="1:17" x14ac:dyDescent="0.35">
      <c r="A8" s="39" t="s">
        <v>16</v>
      </c>
      <c r="B8" s="40">
        <v>270991</v>
      </c>
      <c r="C8" s="40">
        <v>29130</v>
      </c>
      <c r="D8" s="40">
        <v>23783</v>
      </c>
      <c r="E8" s="40">
        <v>218078</v>
      </c>
    </row>
    <row r="9" spans="1:17" x14ac:dyDescent="0.35">
      <c r="A9" s="39" t="s">
        <v>17</v>
      </c>
      <c r="B9" s="40">
        <v>257149</v>
      </c>
      <c r="C9" s="40">
        <v>32810</v>
      </c>
      <c r="D9" s="40">
        <v>21872</v>
      </c>
      <c r="E9" s="40">
        <v>202467</v>
      </c>
    </row>
    <row r="10" spans="1:17" x14ac:dyDescent="0.35">
      <c r="A10" s="39" t="s">
        <v>18</v>
      </c>
      <c r="B10" s="40">
        <v>252031</v>
      </c>
      <c r="C10" s="40">
        <v>35761</v>
      </c>
      <c r="D10" s="40">
        <v>21366</v>
      </c>
      <c r="E10" s="40">
        <v>194904</v>
      </c>
    </row>
    <row r="11" spans="1:17" x14ac:dyDescent="0.35">
      <c r="A11" s="39" t="s">
        <v>19</v>
      </c>
      <c r="B11" s="40">
        <v>252610</v>
      </c>
      <c r="C11" s="40">
        <v>38288</v>
      </c>
      <c r="D11" s="40">
        <v>19343</v>
      </c>
      <c r="E11" s="40">
        <v>194979</v>
      </c>
    </row>
    <row r="12" spans="1:17" x14ac:dyDescent="0.35">
      <c r="A12" s="39" t="s">
        <v>20</v>
      </c>
      <c r="B12" s="40">
        <v>256853</v>
      </c>
      <c r="C12" s="40">
        <v>37830</v>
      </c>
      <c r="D12" s="40">
        <v>18331</v>
      </c>
      <c r="E12" s="40">
        <v>200692</v>
      </c>
    </row>
    <row r="13" spans="1:17" x14ac:dyDescent="0.35">
      <c r="A13" s="39" t="s">
        <v>21</v>
      </c>
      <c r="B13" s="40">
        <v>255288</v>
      </c>
      <c r="C13" s="40">
        <v>40962</v>
      </c>
      <c r="D13" s="40">
        <v>22982</v>
      </c>
      <c r="E13" s="40">
        <v>191344</v>
      </c>
    </row>
    <row r="14" spans="1:17" x14ac:dyDescent="0.35">
      <c r="A14" s="39" t="s">
        <v>22</v>
      </c>
      <c r="B14" s="40">
        <v>259097</v>
      </c>
      <c r="C14" s="40">
        <v>44339</v>
      </c>
      <c r="D14" s="40">
        <v>22906</v>
      </c>
      <c r="E14" s="40">
        <v>191852</v>
      </c>
    </row>
    <row r="15" spans="1:17" x14ac:dyDescent="0.35">
      <c r="A15" s="39" t="s">
        <v>23</v>
      </c>
      <c r="B15" s="40">
        <v>265963</v>
      </c>
      <c r="C15" s="40">
        <v>47580</v>
      </c>
      <c r="D15" s="40">
        <v>24746</v>
      </c>
      <c r="E15" s="40">
        <v>193637</v>
      </c>
    </row>
    <row r="16" spans="1:17" x14ac:dyDescent="0.35">
      <c r="A16" s="39" t="s">
        <v>24</v>
      </c>
      <c r="B16" s="40">
        <v>270812</v>
      </c>
      <c r="C16" s="40">
        <v>46313</v>
      </c>
      <c r="D16" s="40">
        <v>25037</v>
      </c>
      <c r="E16" s="40">
        <v>199462</v>
      </c>
    </row>
    <row r="17" spans="1:5" x14ac:dyDescent="0.35">
      <c r="A17" s="39" t="s">
        <v>25</v>
      </c>
      <c r="B17" s="40">
        <v>274366</v>
      </c>
      <c r="C17" s="40">
        <v>47751</v>
      </c>
      <c r="D17" s="40">
        <v>23607</v>
      </c>
      <c r="E17" s="40">
        <v>203009</v>
      </c>
    </row>
    <row r="18" spans="1:5" x14ac:dyDescent="0.35">
      <c r="A18" s="39" t="s">
        <v>26</v>
      </c>
      <c r="B18" s="40">
        <v>272693</v>
      </c>
      <c r="C18" s="40">
        <v>50537</v>
      </c>
      <c r="D18" s="40">
        <v>23758</v>
      </c>
      <c r="E18" s="40">
        <v>198398</v>
      </c>
    </row>
    <row r="19" spans="1:5" x14ac:dyDescent="0.35">
      <c r="A19" s="39" t="s">
        <v>27</v>
      </c>
      <c r="B19" s="40">
        <v>272252</v>
      </c>
      <c r="C19" s="40">
        <v>52931</v>
      </c>
      <c r="D19" s="40">
        <v>23035</v>
      </c>
      <c r="E19" s="40">
        <v>196285</v>
      </c>
    </row>
    <row r="20" spans="1:5" x14ac:dyDescent="0.35">
      <c r="A20" s="39" t="s">
        <v>28</v>
      </c>
      <c r="B20" s="40">
        <v>279666</v>
      </c>
      <c r="C20" s="40">
        <v>53329</v>
      </c>
      <c r="D20" s="40">
        <v>25438</v>
      </c>
      <c r="E20" s="40">
        <v>200898</v>
      </c>
    </row>
    <row r="21" spans="1:5" x14ac:dyDescent="0.35">
      <c r="A21" s="39" t="s">
        <v>29</v>
      </c>
      <c r="B21" s="40">
        <v>287465</v>
      </c>
      <c r="C21" s="40">
        <v>52764</v>
      </c>
      <c r="D21" s="40">
        <v>26044</v>
      </c>
      <c r="E21" s="40">
        <v>208657</v>
      </c>
    </row>
    <row r="22" spans="1:5" x14ac:dyDescent="0.35">
      <c r="A22" s="39" t="s">
        <v>30</v>
      </c>
      <c r="B22" s="40">
        <v>290525</v>
      </c>
      <c r="C22" s="40">
        <v>53686</v>
      </c>
      <c r="D22" s="40">
        <v>26523</v>
      </c>
      <c r="E22" s="40">
        <v>210317</v>
      </c>
    </row>
    <row r="23" spans="1:5" x14ac:dyDescent="0.35">
      <c r="A23" s="39" t="s">
        <v>31</v>
      </c>
      <c r="B23" s="40">
        <v>292648</v>
      </c>
      <c r="C23" s="40">
        <v>54291</v>
      </c>
      <c r="D23" s="40">
        <v>27253</v>
      </c>
      <c r="E23" s="40">
        <v>211104</v>
      </c>
    </row>
    <row r="24" spans="1:5" x14ac:dyDescent="0.35">
      <c r="A24" s="39" t="s">
        <v>32</v>
      </c>
      <c r="B24" s="40">
        <v>302928</v>
      </c>
      <c r="C24" s="40">
        <v>54918</v>
      </c>
      <c r="D24" s="40">
        <v>29663</v>
      </c>
      <c r="E24" s="40">
        <v>218347</v>
      </c>
    </row>
    <row r="25" spans="1:5" x14ac:dyDescent="0.35">
      <c r="A25" s="39" t="s">
        <v>33</v>
      </c>
      <c r="B25" s="40">
        <v>310324</v>
      </c>
      <c r="C25" s="40">
        <v>56345</v>
      </c>
      <c r="D25" s="40">
        <v>32027</v>
      </c>
      <c r="E25" s="40">
        <v>221951</v>
      </c>
    </row>
    <row r="26" spans="1:5" x14ac:dyDescent="0.35">
      <c r="A26" s="39" t="s">
        <v>34</v>
      </c>
      <c r="B26" s="40">
        <v>316059</v>
      </c>
      <c r="C26" s="40">
        <v>59210</v>
      </c>
      <c r="D26" s="40">
        <v>34794</v>
      </c>
      <c r="E26" s="40">
        <v>222055</v>
      </c>
    </row>
    <row r="27" spans="1:5" x14ac:dyDescent="0.35">
      <c r="A27" s="39" t="s">
        <v>35</v>
      </c>
      <c r="B27" s="40">
        <v>322318</v>
      </c>
      <c r="C27" s="40">
        <v>61540</v>
      </c>
      <c r="D27" s="40">
        <v>39100</v>
      </c>
      <c r="E27" s="40">
        <v>221678</v>
      </c>
    </row>
    <row r="28" spans="1:5" x14ac:dyDescent="0.35">
      <c r="A28" s="39" t="s">
        <v>36</v>
      </c>
      <c r="B28" s="40">
        <v>328498</v>
      </c>
      <c r="C28" s="40">
        <v>64784</v>
      </c>
      <c r="D28" s="40">
        <v>42169</v>
      </c>
      <c r="E28" s="40">
        <v>221545</v>
      </c>
    </row>
    <row r="29" spans="1:5" x14ac:dyDescent="0.35">
      <c r="A29" s="39" t="s">
        <v>37</v>
      </c>
      <c r="B29" s="40">
        <v>340445</v>
      </c>
      <c r="C29" s="40">
        <v>73819</v>
      </c>
      <c r="D29" s="40">
        <v>46719</v>
      </c>
      <c r="E29" s="40">
        <v>219907</v>
      </c>
    </row>
    <row r="30" spans="1:5" x14ac:dyDescent="0.35">
      <c r="A30" s="39" t="s">
        <v>38</v>
      </c>
      <c r="B30" s="40">
        <v>368685</v>
      </c>
      <c r="C30" s="40">
        <v>79140</v>
      </c>
      <c r="D30" s="40">
        <v>52230</v>
      </c>
      <c r="E30" s="40">
        <v>237315</v>
      </c>
    </row>
    <row r="31" spans="1:5" x14ac:dyDescent="0.35">
      <c r="A31" s="39" t="s">
        <v>39</v>
      </c>
      <c r="B31" s="40">
        <v>365769</v>
      </c>
      <c r="C31" s="40">
        <v>87661</v>
      </c>
      <c r="D31" s="40">
        <v>54095</v>
      </c>
      <c r="E31" s="40">
        <v>224013</v>
      </c>
    </row>
    <row r="32" spans="1:5" x14ac:dyDescent="0.35">
      <c r="A32" s="39" t="s">
        <v>40</v>
      </c>
      <c r="B32" s="40">
        <v>380921</v>
      </c>
      <c r="C32" s="40">
        <v>97723</v>
      </c>
      <c r="D32" s="40">
        <v>57714</v>
      </c>
      <c r="E32" s="40">
        <v>225484</v>
      </c>
    </row>
    <row r="33" spans="1:5" x14ac:dyDescent="0.35">
      <c r="A33" s="39" t="s">
        <v>41</v>
      </c>
      <c r="B33" s="40">
        <v>408176</v>
      </c>
      <c r="C33" s="40">
        <v>105140</v>
      </c>
      <c r="D33" s="40">
        <v>65518</v>
      </c>
      <c r="E33" s="40">
        <v>237519</v>
      </c>
    </row>
    <row r="34" spans="1:5" x14ac:dyDescent="0.35">
      <c r="A34" s="39" t="s">
        <v>42</v>
      </c>
      <c r="B34" s="40">
        <v>435936</v>
      </c>
      <c r="C34" s="40">
        <v>113559</v>
      </c>
      <c r="D34" s="40">
        <v>71426</v>
      </c>
      <c r="E34" s="40">
        <v>250951</v>
      </c>
    </row>
    <row r="35" spans="1:5" x14ac:dyDescent="0.35">
      <c r="A35" s="39" t="s">
        <v>43</v>
      </c>
      <c r="B35" s="40">
        <v>466291</v>
      </c>
      <c r="C35" s="40">
        <v>125381</v>
      </c>
      <c r="D35" s="40">
        <v>75181</v>
      </c>
      <c r="E35" s="40">
        <v>265729</v>
      </c>
    </row>
    <row r="36" spans="1:5" x14ac:dyDescent="0.35">
      <c r="A36" s="39" t="s">
        <v>44</v>
      </c>
      <c r="B36" s="40">
        <v>483893</v>
      </c>
      <c r="C36" s="40">
        <v>140194</v>
      </c>
      <c r="D36" s="40">
        <v>80648</v>
      </c>
      <c r="E36" s="40">
        <v>263051</v>
      </c>
    </row>
    <row r="37" spans="1:5" x14ac:dyDescent="0.35">
      <c r="A37" s="39" t="s">
        <v>45</v>
      </c>
      <c r="B37" s="40">
        <v>541925</v>
      </c>
      <c r="C37" s="40">
        <v>147225</v>
      </c>
      <c r="D37" s="40">
        <v>84993</v>
      </c>
      <c r="E37" s="40">
        <v>309707</v>
      </c>
    </row>
    <row r="38" spans="1:5" x14ac:dyDescent="0.35">
      <c r="A38" s="39" t="s">
        <v>46</v>
      </c>
      <c r="B38" s="40">
        <v>628970</v>
      </c>
      <c r="C38" s="40">
        <v>151566</v>
      </c>
      <c r="D38" s="40">
        <v>94714</v>
      </c>
      <c r="E38" s="40">
        <v>382690</v>
      </c>
    </row>
    <row r="39" spans="1:5" x14ac:dyDescent="0.35">
      <c r="A39" s="39" t="s">
        <v>47</v>
      </c>
      <c r="B39" s="40">
        <v>706398</v>
      </c>
      <c r="C39" s="40">
        <v>157294</v>
      </c>
      <c r="D39" s="40">
        <v>105004</v>
      </c>
      <c r="E39" s="40">
        <v>444100</v>
      </c>
    </row>
    <row r="40" spans="1:5" x14ac:dyDescent="0.35">
      <c r="A40" s="39" t="s">
        <v>48</v>
      </c>
      <c r="B40" s="40">
        <v>776602</v>
      </c>
      <c r="C40" s="40">
        <v>169476</v>
      </c>
      <c r="D40" s="40">
        <v>115480</v>
      </c>
      <c r="E40" s="40">
        <v>491646</v>
      </c>
    </row>
    <row r="41" spans="1:5" x14ac:dyDescent="0.35">
      <c r="A41" s="39" t="s">
        <v>49</v>
      </c>
      <c r="B41" s="40">
        <v>829467</v>
      </c>
      <c r="C41" s="40">
        <v>189161</v>
      </c>
      <c r="D41" s="40">
        <v>115594</v>
      </c>
      <c r="E41" s="40">
        <v>524712</v>
      </c>
    </row>
    <row r="42" spans="1:5" x14ac:dyDescent="0.35">
      <c r="A42" s="39" t="s">
        <v>50</v>
      </c>
      <c r="B42" s="40">
        <v>909041</v>
      </c>
      <c r="C42" s="40">
        <v>197118</v>
      </c>
      <c r="D42" s="40">
        <v>120846</v>
      </c>
      <c r="E42" s="40">
        <v>591077</v>
      </c>
    </row>
    <row r="43" spans="1:5" x14ac:dyDescent="0.35">
      <c r="A43" s="39" t="s">
        <v>51</v>
      </c>
      <c r="B43" s="40">
        <v>994828</v>
      </c>
      <c r="C43" s="40">
        <v>205418</v>
      </c>
      <c r="D43" s="40">
        <v>124466</v>
      </c>
      <c r="E43" s="40">
        <v>664944</v>
      </c>
    </row>
    <row r="44" spans="1:5" x14ac:dyDescent="0.35">
      <c r="A44" s="39" t="s">
        <v>52</v>
      </c>
      <c r="B44" s="40">
        <v>1137315</v>
      </c>
      <c r="C44" s="40">
        <v>212740</v>
      </c>
      <c r="D44" s="40">
        <v>134497</v>
      </c>
      <c r="E44" s="40">
        <v>790078</v>
      </c>
    </row>
    <row r="45" spans="1:5" x14ac:dyDescent="0.35">
      <c r="A45" s="39" t="s">
        <v>53</v>
      </c>
      <c r="B45" s="40">
        <v>1371660</v>
      </c>
      <c r="C45" s="40">
        <v>234392</v>
      </c>
      <c r="D45" s="40">
        <v>155527</v>
      </c>
      <c r="E45" s="40">
        <v>981741</v>
      </c>
    </row>
    <row r="46" spans="1:5" x14ac:dyDescent="0.35">
      <c r="A46" s="39" t="s">
        <v>54</v>
      </c>
      <c r="B46" s="40">
        <v>1564586</v>
      </c>
      <c r="C46" s="40">
        <v>257611</v>
      </c>
      <c r="D46" s="40">
        <v>155122</v>
      </c>
      <c r="E46" s="40">
        <v>1151853</v>
      </c>
    </row>
    <row r="47" spans="1:5" x14ac:dyDescent="0.35">
      <c r="A47" s="39" t="s">
        <v>55</v>
      </c>
      <c r="B47" s="40">
        <v>1817423</v>
      </c>
      <c r="C47" s="40">
        <v>310163</v>
      </c>
      <c r="D47" s="40">
        <v>169806</v>
      </c>
      <c r="E47" s="40">
        <v>1337454</v>
      </c>
    </row>
    <row r="48" spans="1:5" x14ac:dyDescent="0.35">
      <c r="A48" s="39" t="s">
        <v>56</v>
      </c>
      <c r="B48" s="40">
        <v>2120501</v>
      </c>
      <c r="C48" s="40">
        <v>379878</v>
      </c>
      <c r="D48" s="40">
        <v>190855</v>
      </c>
      <c r="E48" s="40">
        <v>1549767</v>
      </c>
    </row>
    <row r="49" spans="1:5" x14ac:dyDescent="0.35">
      <c r="A49" s="39" t="s">
        <v>57</v>
      </c>
      <c r="B49" s="40">
        <v>2345956</v>
      </c>
      <c r="C49" s="40">
        <v>456203</v>
      </c>
      <c r="D49" s="40">
        <v>212040</v>
      </c>
      <c r="E49" s="40">
        <v>1677713</v>
      </c>
    </row>
    <row r="50" spans="1:5" x14ac:dyDescent="0.35">
      <c r="A50" s="39" t="s">
        <v>58</v>
      </c>
      <c r="B50" s="40">
        <v>2601104</v>
      </c>
      <c r="C50" s="40">
        <v>549487</v>
      </c>
      <c r="D50" s="40">
        <v>229218</v>
      </c>
      <c r="E50" s="40">
        <v>1822398</v>
      </c>
    </row>
    <row r="51" spans="1:5" x14ac:dyDescent="0.35">
      <c r="A51" s="39" t="s">
        <v>59</v>
      </c>
      <c r="B51" s="40">
        <v>2867800</v>
      </c>
      <c r="C51" s="40">
        <v>677084</v>
      </c>
      <c r="D51" s="40">
        <v>220088</v>
      </c>
      <c r="E51" s="40">
        <v>1970628</v>
      </c>
    </row>
    <row r="52" spans="1:5" x14ac:dyDescent="0.35">
      <c r="A52" s="39" t="s">
        <v>60</v>
      </c>
      <c r="B52" s="40">
        <v>3206290</v>
      </c>
      <c r="C52" s="40">
        <v>794733</v>
      </c>
      <c r="D52" s="40">
        <v>234410</v>
      </c>
      <c r="E52" s="40">
        <v>2177147</v>
      </c>
    </row>
    <row r="53" spans="1:5" x14ac:dyDescent="0.35">
      <c r="A53" s="39" t="s">
        <v>61</v>
      </c>
      <c r="B53" s="40">
        <v>3598178</v>
      </c>
      <c r="C53" s="40">
        <v>909179</v>
      </c>
      <c r="D53" s="40">
        <v>258591</v>
      </c>
      <c r="E53" s="40">
        <v>2430408</v>
      </c>
    </row>
    <row r="54" spans="1:5" x14ac:dyDescent="0.35">
      <c r="A54" s="39" t="s">
        <v>62</v>
      </c>
      <c r="B54" s="40">
        <v>4001787</v>
      </c>
      <c r="C54" s="40">
        <v>1002050</v>
      </c>
      <c r="D54" s="40">
        <v>296397</v>
      </c>
      <c r="E54" s="40">
        <v>2703341</v>
      </c>
    </row>
    <row r="55" spans="1:5" x14ac:dyDescent="0.35">
      <c r="A55" s="39" t="s">
        <v>63</v>
      </c>
      <c r="B55" s="40">
        <v>4351044</v>
      </c>
      <c r="C55" s="40">
        <v>1102647</v>
      </c>
      <c r="D55" s="40">
        <v>325653</v>
      </c>
      <c r="E55" s="40">
        <v>2922744</v>
      </c>
    </row>
    <row r="56" spans="1:5" x14ac:dyDescent="0.35">
      <c r="A56" s="39" t="s">
        <v>64</v>
      </c>
      <c r="B56" s="40">
        <v>4643307</v>
      </c>
      <c r="C56" s="40">
        <v>1210242</v>
      </c>
      <c r="D56" s="40">
        <v>355150</v>
      </c>
      <c r="E56" s="40">
        <v>3077915</v>
      </c>
    </row>
    <row r="57" spans="1:5" x14ac:dyDescent="0.35">
      <c r="A57" s="39" t="s">
        <v>65</v>
      </c>
      <c r="B57" s="40">
        <v>4920586</v>
      </c>
      <c r="C57" s="40">
        <v>1316208</v>
      </c>
      <c r="D57" s="40">
        <v>374114</v>
      </c>
      <c r="E57" s="40">
        <v>3230264</v>
      </c>
    </row>
    <row r="58" spans="1:5" x14ac:dyDescent="0.35">
      <c r="A58" s="39" t="s">
        <v>66</v>
      </c>
      <c r="B58" s="40">
        <v>5181465</v>
      </c>
      <c r="C58" s="40">
        <v>1447392</v>
      </c>
      <c r="D58" s="40">
        <v>390924</v>
      </c>
      <c r="E58" s="40">
        <v>3343149</v>
      </c>
    </row>
    <row r="59" spans="1:5" x14ac:dyDescent="0.35">
      <c r="A59" s="39" t="s">
        <v>67</v>
      </c>
      <c r="B59" s="40">
        <v>5369206</v>
      </c>
      <c r="C59" s="40">
        <v>1596862</v>
      </c>
      <c r="D59" s="40">
        <v>424518</v>
      </c>
      <c r="E59" s="40">
        <v>3347826</v>
      </c>
    </row>
    <row r="60" spans="1:5" x14ac:dyDescent="0.35">
      <c r="A60" s="39" t="s">
        <v>68</v>
      </c>
      <c r="B60" s="40">
        <v>5478189</v>
      </c>
      <c r="C60" s="40">
        <v>1757090</v>
      </c>
      <c r="D60" s="40">
        <v>458182</v>
      </c>
      <c r="E60" s="40">
        <v>3262917</v>
      </c>
    </row>
    <row r="61" spans="1:5" x14ac:dyDescent="0.35">
      <c r="A61" s="39" t="s">
        <v>69</v>
      </c>
      <c r="B61" s="40">
        <v>5605523</v>
      </c>
      <c r="C61" s="40">
        <v>1973160</v>
      </c>
      <c r="D61" s="40">
        <v>496644</v>
      </c>
      <c r="E61" s="40">
        <v>3135719</v>
      </c>
    </row>
    <row r="62" spans="1:5" x14ac:dyDescent="0.35">
      <c r="A62" s="39" t="s">
        <v>70</v>
      </c>
      <c r="B62" s="40">
        <v>5628700</v>
      </c>
      <c r="C62" s="40">
        <v>2218896</v>
      </c>
      <c r="D62" s="40">
        <v>511413</v>
      </c>
      <c r="E62" s="40">
        <v>2898391</v>
      </c>
    </row>
    <row r="63" spans="1:5" x14ac:dyDescent="0.35">
      <c r="A63" s="39" t="s">
        <v>71</v>
      </c>
      <c r="B63" s="40">
        <v>5769881</v>
      </c>
      <c r="C63" s="40">
        <v>2450266</v>
      </c>
      <c r="D63" s="40">
        <v>534135</v>
      </c>
      <c r="E63" s="40">
        <v>2785480</v>
      </c>
    </row>
    <row r="64" spans="1:5" x14ac:dyDescent="0.35">
      <c r="A64" s="39" t="s">
        <v>72</v>
      </c>
      <c r="B64" s="40">
        <v>6198401</v>
      </c>
      <c r="C64" s="40">
        <v>2657974</v>
      </c>
      <c r="D64" s="40">
        <v>604191</v>
      </c>
      <c r="E64" s="40">
        <v>2936235</v>
      </c>
    </row>
    <row r="65" spans="1:5" x14ac:dyDescent="0.35">
      <c r="A65" s="39" t="s">
        <v>73</v>
      </c>
      <c r="B65" s="40">
        <v>6760014</v>
      </c>
      <c r="C65" s="40">
        <v>2846570</v>
      </c>
      <c r="D65" s="40">
        <v>656116</v>
      </c>
      <c r="E65" s="40">
        <v>3257327</v>
      </c>
    </row>
    <row r="66" spans="1:5" x14ac:dyDescent="0.35">
      <c r="A66" s="39" t="s">
        <v>74</v>
      </c>
      <c r="B66" s="40">
        <v>7354657</v>
      </c>
      <c r="C66" s="40">
        <v>3059113</v>
      </c>
      <c r="D66" s="40">
        <v>700341</v>
      </c>
      <c r="E66" s="40">
        <v>3595203</v>
      </c>
    </row>
    <row r="67" spans="1:5" x14ac:dyDescent="0.35">
      <c r="A67" s="39" t="s">
        <v>75</v>
      </c>
      <c r="B67" s="40">
        <v>7905300</v>
      </c>
      <c r="C67" s="40">
        <v>3313088</v>
      </c>
      <c r="D67" s="40">
        <v>736360</v>
      </c>
      <c r="E67" s="40">
        <v>3855852</v>
      </c>
    </row>
    <row r="68" spans="1:5" x14ac:dyDescent="0.35">
      <c r="A68" s="39" t="s">
        <v>76</v>
      </c>
      <c r="B68" s="40">
        <v>8451350</v>
      </c>
      <c r="C68" s="40">
        <v>3622378</v>
      </c>
      <c r="D68" s="40">
        <v>768924</v>
      </c>
      <c r="E68" s="40">
        <v>4060048</v>
      </c>
    </row>
    <row r="69" spans="1:5" x14ac:dyDescent="0.35">
      <c r="A69" s="39" t="s">
        <v>77</v>
      </c>
      <c r="B69" s="40">
        <v>8950744</v>
      </c>
      <c r="C69" s="40">
        <v>3915615</v>
      </c>
      <c r="D69" s="40">
        <v>779632</v>
      </c>
      <c r="E69" s="40">
        <v>4255497</v>
      </c>
    </row>
    <row r="70" spans="1:5" x14ac:dyDescent="0.35">
      <c r="A70" s="39" t="s">
        <v>78</v>
      </c>
      <c r="B70" s="40">
        <v>9986082</v>
      </c>
      <c r="C70" s="40">
        <v>4183032</v>
      </c>
      <c r="D70" s="40">
        <v>491127</v>
      </c>
      <c r="E70" s="40">
        <v>5311923</v>
      </c>
    </row>
    <row r="71" spans="1:5" x14ac:dyDescent="0.35">
      <c r="A71" s="39" t="s">
        <v>79</v>
      </c>
      <c r="B71" s="40">
        <v>11875851</v>
      </c>
      <c r="C71" s="40">
        <v>4331144</v>
      </c>
      <c r="D71" s="40">
        <v>769160</v>
      </c>
      <c r="E71" s="40">
        <v>6775547</v>
      </c>
    </row>
    <row r="72" spans="1:5" x14ac:dyDescent="0.35">
      <c r="A72" s="39" t="s">
        <v>80</v>
      </c>
      <c r="B72" s="40">
        <v>13528807</v>
      </c>
      <c r="C72" s="40">
        <v>4509926</v>
      </c>
      <c r="D72" s="40">
        <v>811669</v>
      </c>
      <c r="E72" s="40">
        <v>8207213</v>
      </c>
    </row>
    <row r="73" spans="1:5" x14ac:dyDescent="0.35">
      <c r="A73" s="39" t="s">
        <v>81</v>
      </c>
      <c r="B73" s="40">
        <v>14764222</v>
      </c>
      <c r="C73" s="40">
        <v>4636035</v>
      </c>
      <c r="D73" s="40">
        <v>1664660</v>
      </c>
      <c r="E73" s="40">
        <v>8463527</v>
      </c>
    </row>
    <row r="74" spans="1:5" x14ac:dyDescent="0.35">
      <c r="A74" s="39" t="s">
        <v>82</v>
      </c>
      <c r="B74" s="40">
        <v>16050921</v>
      </c>
      <c r="C74" s="40">
        <v>4769790</v>
      </c>
      <c r="D74" s="40">
        <v>1645285</v>
      </c>
      <c r="E74" s="40">
        <v>9635846</v>
      </c>
    </row>
    <row r="75" spans="1:5" x14ac:dyDescent="0.35">
      <c r="A75" s="39" t="s">
        <v>83</v>
      </c>
      <c r="B75" s="40">
        <v>16719434</v>
      </c>
      <c r="C75" s="40">
        <v>4736721</v>
      </c>
      <c r="D75" s="40">
        <v>2072283</v>
      </c>
      <c r="E75" s="40">
        <v>9910430</v>
      </c>
    </row>
    <row r="76" spans="1:5" x14ac:dyDescent="0.35">
      <c r="A76" s="39" t="s">
        <v>84</v>
      </c>
      <c r="B76" s="40">
        <v>17794483</v>
      </c>
      <c r="C76" s="40">
        <v>5014584</v>
      </c>
      <c r="D76" s="40">
        <v>2451743</v>
      </c>
      <c r="E76" s="40">
        <v>10328156</v>
      </c>
    </row>
    <row r="77" spans="1:5" x14ac:dyDescent="0.35">
      <c r="A77" s="39" t="s">
        <v>85</v>
      </c>
      <c r="B77" s="40">
        <v>18120106</v>
      </c>
      <c r="C77" s="40">
        <v>5003414</v>
      </c>
      <c r="D77" s="40">
        <v>2461947</v>
      </c>
      <c r="E77" s="40">
        <v>10654745</v>
      </c>
    </row>
    <row r="78" spans="1:5" x14ac:dyDescent="0.35">
      <c r="A78" s="39" t="s">
        <v>86</v>
      </c>
      <c r="B78" s="40">
        <v>19539450</v>
      </c>
      <c r="C78" s="40">
        <v>5371826</v>
      </c>
      <c r="D78" s="40">
        <v>2463456</v>
      </c>
      <c r="E78" s="40">
        <v>11704168</v>
      </c>
    </row>
    <row r="79" spans="1:5" x14ac:dyDescent="0.35">
      <c r="A79" s="39" t="s">
        <v>87</v>
      </c>
      <c r="B79" s="40">
        <v>20205704</v>
      </c>
      <c r="C79" s="40">
        <v>5540265</v>
      </c>
      <c r="D79" s="40">
        <v>2465418</v>
      </c>
      <c r="E79" s="40">
        <v>12200021</v>
      </c>
    </row>
    <row r="80" spans="1:5" x14ac:dyDescent="0.35">
      <c r="A80" s="39" t="s">
        <v>88</v>
      </c>
      <c r="B80" s="40">
        <v>21462277</v>
      </c>
      <c r="C80" s="40">
        <v>5712710</v>
      </c>
      <c r="D80" s="40">
        <v>2313209</v>
      </c>
      <c r="E80" s="40">
        <v>13436358</v>
      </c>
    </row>
    <row r="81" spans="1:5" x14ac:dyDescent="0.35">
      <c r="A81" s="39" t="s">
        <v>89</v>
      </c>
      <c r="B81" s="40">
        <v>22669466</v>
      </c>
      <c r="C81" s="40">
        <v>5868766</v>
      </c>
      <c r="D81" s="40">
        <v>2113329</v>
      </c>
      <c r="E81" s="40">
        <v>14687371</v>
      </c>
    </row>
    <row r="82" spans="1:5" x14ac:dyDescent="0.35">
      <c r="A82" s="39" t="s">
        <v>90</v>
      </c>
      <c r="B82" s="40">
        <v>26902455</v>
      </c>
      <c r="C82" s="40">
        <v>5885786</v>
      </c>
      <c r="D82" s="40">
        <v>4445477</v>
      </c>
      <c r="E82" s="40">
        <v>16571192</v>
      </c>
    </row>
    <row r="83" spans="1:5" x14ac:dyDescent="0.35">
      <c r="A83" s="39" t="s">
        <v>91</v>
      </c>
      <c r="B83" s="40">
        <v>28385562</v>
      </c>
      <c r="C83" s="40">
        <v>6101522</v>
      </c>
      <c r="D83" s="40">
        <v>5433156</v>
      </c>
      <c r="E83" s="40">
        <v>16850884</v>
      </c>
    </row>
    <row r="84" spans="1:5" x14ac:dyDescent="0.35">
      <c r="A84" s="39" t="s">
        <v>92</v>
      </c>
      <c r="B84" s="40">
        <v>30838586</v>
      </c>
      <c r="C84" s="40">
        <v>6585141</v>
      </c>
      <c r="D84" s="40">
        <v>5634940</v>
      </c>
      <c r="E84" s="40">
        <v>18618505</v>
      </c>
    </row>
    <row r="85" spans="1:5" x14ac:dyDescent="0.35">
      <c r="A85" s="39" t="s">
        <v>93</v>
      </c>
      <c r="B85" s="40">
        <v>32988990</v>
      </c>
      <c r="C85" s="40">
        <v>6753398</v>
      </c>
      <c r="D85" s="40">
        <v>4952914</v>
      </c>
      <c r="E85" s="40">
        <v>21282678</v>
      </c>
    </row>
    <row r="86" spans="1:5" x14ac:dyDescent="0.35">
      <c r="A86" s="39" t="s">
        <v>94</v>
      </c>
      <c r="B86" s="40">
        <v>35231312</v>
      </c>
      <c r="C86" s="40">
        <v>7035737</v>
      </c>
      <c r="D86" s="40">
        <v>4364357</v>
      </c>
      <c r="E86" s="40">
        <v>23831218</v>
      </c>
    </row>
  </sheetData>
  <mergeCells count="1">
    <mergeCell ref="G2:Q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6B554-3B72-487C-A1FA-6C2148C5B3AB}">
  <dimension ref="A1:L2"/>
  <sheetViews>
    <sheetView workbookViewId="0">
      <selection activeCell="B4" sqref="B4"/>
    </sheetView>
  </sheetViews>
  <sheetFormatPr defaultColWidth="11.81640625" defaultRowHeight="14.5" x14ac:dyDescent="0.35"/>
  <cols>
    <col min="2" max="2" width="10.81640625" customWidth="1"/>
    <col min="3" max="3" width="12.1796875" customWidth="1"/>
  </cols>
  <sheetData>
    <row r="1" spans="1:12" s="59" customFormat="1" ht="48" customHeight="1" x14ac:dyDescent="0.35">
      <c r="A1" s="58" t="s">
        <v>284</v>
      </c>
      <c r="B1" s="58" t="s">
        <v>294</v>
      </c>
      <c r="C1" s="58" t="s">
        <v>295</v>
      </c>
      <c r="D1" s="58" t="s">
        <v>285</v>
      </c>
      <c r="E1" s="58" t="s">
        <v>286</v>
      </c>
      <c r="F1" s="58" t="s">
        <v>287</v>
      </c>
      <c r="G1" s="58" t="s">
        <v>288</v>
      </c>
      <c r="H1" s="58" t="s">
        <v>289</v>
      </c>
      <c r="I1" s="58" t="s">
        <v>290</v>
      </c>
      <c r="J1" s="58" t="s">
        <v>291</v>
      </c>
      <c r="K1" s="58" t="s">
        <v>292</v>
      </c>
      <c r="L1" s="58" t="s">
        <v>293</v>
      </c>
    </row>
    <row r="2" spans="1:12" x14ac:dyDescent="0.35">
      <c r="A2" s="60">
        <v>36218.6</v>
      </c>
      <c r="B2" s="60">
        <v>7203.9798338417222</v>
      </c>
      <c r="C2" s="60">
        <v>4468.7201661582794</v>
      </c>
      <c r="D2" s="60">
        <v>24545.9</v>
      </c>
      <c r="E2" s="60">
        <v>1853.1</v>
      </c>
      <c r="F2" s="60">
        <v>158.69999999999999</v>
      </c>
      <c r="G2" s="60">
        <v>945.3</v>
      </c>
      <c r="H2" s="60">
        <v>549.5</v>
      </c>
      <c r="I2" s="60">
        <v>4498.1000000000004</v>
      </c>
      <c r="J2" s="60">
        <v>1677.7</v>
      </c>
      <c r="K2" s="60">
        <v>8619.6</v>
      </c>
      <c r="L2" s="60">
        <v>6244.1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EF888-D70B-42B5-B4AA-6C2611C2A7B0}">
  <dimension ref="A1:BU123"/>
  <sheetViews>
    <sheetView topLeftCell="M1" workbookViewId="0">
      <selection activeCell="Q1" sqref="Q1:Q1048576"/>
    </sheetView>
  </sheetViews>
  <sheetFormatPr defaultColWidth="9.08984375" defaultRowHeight="14.5" x14ac:dyDescent="0.35"/>
  <cols>
    <col min="1" max="1" width="53.90625" style="19" customWidth="1"/>
    <col min="2" max="64" width="9.7265625" style="19" customWidth="1"/>
    <col min="65" max="16384" width="9.08984375" style="19"/>
  </cols>
  <sheetData>
    <row r="1" spans="1:73" ht="26.15" customHeight="1" x14ac:dyDescent="0.35">
      <c r="A1" s="26" t="s">
        <v>129</v>
      </c>
      <c r="B1" s="27" t="s">
        <v>32</v>
      </c>
      <c r="C1" s="27" t="s">
        <v>33</v>
      </c>
      <c r="D1" s="27" t="s">
        <v>34</v>
      </c>
      <c r="E1" s="27" t="s">
        <v>35</v>
      </c>
      <c r="F1" s="27" t="s">
        <v>36</v>
      </c>
      <c r="G1" s="27" t="s">
        <v>37</v>
      </c>
      <c r="H1" s="27" t="s">
        <v>38</v>
      </c>
      <c r="I1" s="27" t="s">
        <v>39</v>
      </c>
      <c r="J1" s="27" t="s">
        <v>40</v>
      </c>
      <c r="K1" s="27" t="s">
        <v>41</v>
      </c>
      <c r="L1" s="27" t="s">
        <v>42</v>
      </c>
      <c r="M1" s="27" t="s">
        <v>43</v>
      </c>
      <c r="N1" s="27" t="s">
        <v>44</v>
      </c>
      <c r="O1" s="27" t="s">
        <v>45</v>
      </c>
      <c r="P1" s="27" t="s">
        <v>46</v>
      </c>
      <c r="Q1" s="27" t="s">
        <v>47</v>
      </c>
      <c r="R1" s="27" t="s">
        <v>48</v>
      </c>
      <c r="S1" s="27" t="s">
        <v>49</v>
      </c>
      <c r="T1" s="27" t="s">
        <v>50</v>
      </c>
      <c r="U1" s="27" t="s">
        <v>51</v>
      </c>
      <c r="V1" s="27" t="s">
        <v>52</v>
      </c>
      <c r="W1" s="27" t="s">
        <v>53</v>
      </c>
      <c r="X1" s="27" t="s">
        <v>54</v>
      </c>
      <c r="Y1" s="27" t="s">
        <v>55</v>
      </c>
      <c r="Z1" s="27" t="s">
        <v>56</v>
      </c>
      <c r="AA1" s="27" t="s">
        <v>57</v>
      </c>
      <c r="AB1" s="27" t="s">
        <v>58</v>
      </c>
      <c r="AC1" s="27" t="s">
        <v>59</v>
      </c>
      <c r="AD1" s="27" t="s">
        <v>60</v>
      </c>
      <c r="AE1" s="27" t="s">
        <v>61</v>
      </c>
      <c r="AF1" s="27" t="s">
        <v>62</v>
      </c>
      <c r="AG1" s="27" t="s">
        <v>63</v>
      </c>
      <c r="AH1" s="27" t="s">
        <v>64</v>
      </c>
      <c r="AI1" s="27" t="s">
        <v>65</v>
      </c>
      <c r="AJ1" s="27" t="s">
        <v>66</v>
      </c>
      <c r="AK1" s="27" t="s">
        <v>67</v>
      </c>
      <c r="AL1" s="27" t="s">
        <v>68</v>
      </c>
      <c r="AM1" s="27" t="s">
        <v>69</v>
      </c>
      <c r="AN1" s="27" t="s">
        <v>70</v>
      </c>
      <c r="AO1" s="27" t="s">
        <v>71</v>
      </c>
      <c r="AP1" s="27" t="s">
        <v>72</v>
      </c>
      <c r="AQ1" s="27" t="s">
        <v>73</v>
      </c>
      <c r="AR1" s="27" t="s">
        <v>74</v>
      </c>
      <c r="AS1" s="27" t="s">
        <v>75</v>
      </c>
      <c r="AT1" s="27" t="s">
        <v>76</v>
      </c>
      <c r="AU1" s="27" t="s">
        <v>77</v>
      </c>
      <c r="AV1" s="27" t="s">
        <v>78</v>
      </c>
      <c r="AW1" s="27" t="s">
        <v>79</v>
      </c>
      <c r="AX1" s="27" t="s">
        <v>80</v>
      </c>
      <c r="AY1" s="27" t="s">
        <v>81</v>
      </c>
      <c r="AZ1" s="27" t="s">
        <v>82</v>
      </c>
      <c r="BA1" s="27" t="s">
        <v>83</v>
      </c>
      <c r="BB1" s="27" t="s">
        <v>84</v>
      </c>
      <c r="BC1" s="27" t="s">
        <v>85</v>
      </c>
      <c r="BD1" s="27" t="s">
        <v>86</v>
      </c>
      <c r="BE1" s="27" t="s">
        <v>87</v>
      </c>
      <c r="BF1" s="27" t="s">
        <v>88</v>
      </c>
      <c r="BG1" s="27" t="s">
        <v>89</v>
      </c>
      <c r="BH1" s="27" t="s">
        <v>90</v>
      </c>
      <c r="BI1" s="27" t="s">
        <v>91</v>
      </c>
      <c r="BJ1" s="27" t="s">
        <v>92</v>
      </c>
      <c r="BK1" s="27" t="s">
        <v>93</v>
      </c>
      <c r="BL1" s="27" t="s">
        <v>94</v>
      </c>
    </row>
    <row r="2" spans="1:73" ht="14.15" customHeight="1" x14ac:dyDescent="0.35">
      <c r="A2" s="28" t="s">
        <v>130</v>
      </c>
      <c r="B2" s="29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J2" s="22"/>
      <c r="BK2" s="22"/>
      <c r="BL2" s="22"/>
    </row>
    <row r="3" spans="1:73" ht="14.15" customHeight="1" x14ac:dyDescent="0.35">
      <c r="A3" s="31" t="s">
        <v>131</v>
      </c>
      <c r="B3" s="29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J3" s="22"/>
      <c r="BK3" s="22"/>
      <c r="BL3" s="22"/>
    </row>
    <row r="4" spans="1:73" ht="14.15" customHeight="1" x14ac:dyDescent="0.35">
      <c r="A4" s="32" t="s">
        <v>132</v>
      </c>
      <c r="B4" s="33">
        <v>16331</v>
      </c>
      <c r="C4" s="33">
        <v>16256</v>
      </c>
      <c r="D4" s="33">
        <v>17422</v>
      </c>
      <c r="E4" s="33">
        <v>17913</v>
      </c>
      <c r="F4" s="33">
        <v>20009</v>
      </c>
      <c r="G4" s="33">
        <v>22952</v>
      </c>
      <c r="H4" s="33">
        <v>25118</v>
      </c>
      <c r="I4" s="33">
        <v>26914</v>
      </c>
      <c r="J4" s="33">
        <v>29032</v>
      </c>
      <c r="K4" s="33">
        <v>29079</v>
      </c>
      <c r="L4" s="33">
        <v>29571</v>
      </c>
      <c r="M4" s="33">
        <v>29773</v>
      </c>
      <c r="N4" s="33">
        <v>30409</v>
      </c>
      <c r="O4" s="33">
        <v>32162</v>
      </c>
      <c r="P4" s="33">
        <v>32546</v>
      </c>
      <c r="Q4" s="33">
        <v>33672</v>
      </c>
      <c r="R4" s="33">
        <v>35553</v>
      </c>
      <c r="S4" s="33">
        <v>37345</v>
      </c>
      <c r="T4" s="33">
        <v>40897</v>
      </c>
      <c r="U4" s="33">
        <v>47941</v>
      </c>
      <c r="V4" s="33">
        <v>55170</v>
      </c>
      <c r="W4" s="33">
        <v>60886</v>
      </c>
      <c r="X4" s="33">
        <v>64158</v>
      </c>
      <c r="Y4" s="33">
        <v>67842</v>
      </c>
      <c r="Z4" s="33">
        <v>71511</v>
      </c>
      <c r="AA4" s="33">
        <v>72020</v>
      </c>
      <c r="AB4" s="33">
        <v>76337</v>
      </c>
      <c r="AC4" s="33">
        <v>80676</v>
      </c>
      <c r="AD4" s="33">
        <v>75622</v>
      </c>
      <c r="AE4" s="33">
        <v>83439</v>
      </c>
      <c r="AF4" s="33">
        <v>81171</v>
      </c>
      <c r="AG4" s="33">
        <v>75904</v>
      </c>
      <c r="AH4" s="33">
        <v>73137</v>
      </c>
      <c r="AI4" s="33">
        <v>70809</v>
      </c>
      <c r="AJ4" s="33">
        <v>66669</v>
      </c>
      <c r="AK4" s="33">
        <v>69724</v>
      </c>
      <c r="AL4" s="33">
        <v>68976</v>
      </c>
      <c r="AM4" s="33">
        <v>69503</v>
      </c>
      <c r="AN4" s="33">
        <v>75950</v>
      </c>
      <c r="AO4" s="33">
        <v>73977</v>
      </c>
      <c r="AP4" s="33">
        <v>86799</v>
      </c>
      <c r="AQ4" s="33">
        <v>106744</v>
      </c>
      <c r="AR4" s="33">
        <v>113576</v>
      </c>
      <c r="AS4" s="33">
        <v>127463</v>
      </c>
      <c r="AT4" s="33">
        <v>127543</v>
      </c>
      <c r="AU4" s="33">
        <v>127544</v>
      </c>
      <c r="AV4" s="33">
        <v>138940</v>
      </c>
      <c r="AW4" s="33">
        <v>147348</v>
      </c>
      <c r="AX4" s="33">
        <v>155690</v>
      </c>
      <c r="AY4" s="33">
        <v>161608</v>
      </c>
      <c r="AZ4" s="33">
        <v>152266</v>
      </c>
      <c r="BA4" s="33">
        <v>150825</v>
      </c>
      <c r="BB4" s="33">
        <v>148923</v>
      </c>
      <c r="BC4" s="33">
        <v>145206</v>
      </c>
      <c r="BD4" s="33">
        <v>147905</v>
      </c>
      <c r="BE4" s="33">
        <v>144701</v>
      </c>
      <c r="BF4" s="33">
        <v>145827</v>
      </c>
      <c r="BG4" s="33">
        <v>156267</v>
      </c>
      <c r="BH4" s="33">
        <v>161424</v>
      </c>
      <c r="BI4" s="33">
        <v>172580</v>
      </c>
      <c r="BJ4" s="33">
        <v>180774</v>
      </c>
      <c r="BK4" s="33">
        <v>183899</v>
      </c>
      <c r="BL4" s="33">
        <v>191947</v>
      </c>
    </row>
    <row r="5" spans="1:73" ht="14.15" customHeight="1" x14ac:dyDescent="0.35">
      <c r="A5" s="32" t="s">
        <v>133</v>
      </c>
      <c r="B5" s="33">
        <v>11594</v>
      </c>
      <c r="C5" s="33">
        <v>11874</v>
      </c>
      <c r="D5" s="33">
        <v>11932</v>
      </c>
      <c r="E5" s="33">
        <v>12349</v>
      </c>
      <c r="F5" s="33">
        <v>14710</v>
      </c>
      <c r="G5" s="33">
        <v>19000</v>
      </c>
      <c r="H5" s="33">
        <v>20578</v>
      </c>
      <c r="I5" s="33">
        <v>22227</v>
      </c>
      <c r="J5" s="33">
        <v>21609</v>
      </c>
      <c r="K5" s="33">
        <v>20941</v>
      </c>
      <c r="L5" s="33">
        <v>21675</v>
      </c>
      <c r="M5" s="33">
        <v>21069</v>
      </c>
      <c r="N5" s="33">
        <v>22478</v>
      </c>
      <c r="O5" s="33">
        <v>26297</v>
      </c>
      <c r="P5" s="33">
        <v>27837</v>
      </c>
      <c r="Q5" s="33">
        <v>30587</v>
      </c>
      <c r="R5" s="33">
        <v>33580</v>
      </c>
      <c r="S5" s="33">
        <v>36440</v>
      </c>
      <c r="T5" s="33">
        <v>44788</v>
      </c>
      <c r="U5" s="33">
        <v>51878</v>
      </c>
      <c r="V5" s="33">
        <v>59673</v>
      </c>
      <c r="W5" s="33">
        <v>64881</v>
      </c>
      <c r="X5" s="33">
        <v>67329</v>
      </c>
      <c r="Y5" s="33">
        <v>72336</v>
      </c>
      <c r="Z5" s="33">
        <v>75255</v>
      </c>
      <c r="AA5" s="33">
        <v>76167</v>
      </c>
      <c r="AB5" s="33">
        <v>84436</v>
      </c>
      <c r="AC5" s="33">
        <v>86960</v>
      </c>
      <c r="AD5" s="33">
        <v>88294</v>
      </c>
      <c r="AE5" s="33">
        <v>101715</v>
      </c>
      <c r="AF5" s="33">
        <v>91939</v>
      </c>
      <c r="AG5" s="33">
        <v>94036</v>
      </c>
      <c r="AH5" s="33">
        <v>87868</v>
      </c>
      <c r="AI5" s="33">
        <v>91017</v>
      </c>
      <c r="AJ5" s="33">
        <v>88711</v>
      </c>
      <c r="AK5" s="33">
        <v>92408</v>
      </c>
      <c r="AL5" s="33">
        <v>93412</v>
      </c>
      <c r="AM5" s="33">
        <v>96344</v>
      </c>
      <c r="AN5" s="33">
        <v>105812</v>
      </c>
      <c r="AO5" s="33">
        <v>111964</v>
      </c>
      <c r="AP5" s="33">
        <v>130005</v>
      </c>
      <c r="AQ5" s="33">
        <v>151408</v>
      </c>
      <c r="AR5" s="33">
        <v>174045</v>
      </c>
      <c r="AS5" s="33">
        <v>188118</v>
      </c>
      <c r="AT5" s="33">
        <v>203789</v>
      </c>
      <c r="AU5" s="33">
        <v>216631</v>
      </c>
      <c r="AV5" s="33">
        <v>244836</v>
      </c>
      <c r="AW5" s="33">
        <v>259312</v>
      </c>
      <c r="AX5" s="33">
        <v>275988</v>
      </c>
      <c r="AY5" s="33">
        <v>291038</v>
      </c>
      <c r="AZ5" s="33">
        <v>282297</v>
      </c>
      <c r="BA5" s="33">
        <v>259662</v>
      </c>
      <c r="BB5" s="33">
        <v>244481</v>
      </c>
      <c r="BC5" s="33">
        <v>247239</v>
      </c>
      <c r="BD5" s="33">
        <v>243198</v>
      </c>
      <c r="BE5" s="33">
        <v>245184</v>
      </c>
      <c r="BF5" s="33">
        <v>256655</v>
      </c>
      <c r="BG5" s="33">
        <v>271700</v>
      </c>
      <c r="BH5" s="33">
        <v>278866</v>
      </c>
      <c r="BI5" s="33">
        <v>286184</v>
      </c>
      <c r="BJ5" s="33">
        <v>291269</v>
      </c>
      <c r="BK5" s="33">
        <v>317570</v>
      </c>
      <c r="BL5" s="33">
        <v>332047</v>
      </c>
    </row>
    <row r="6" spans="1:73" ht="14.15" customHeight="1" x14ac:dyDescent="0.35">
      <c r="A6" s="32" t="s">
        <v>134</v>
      </c>
      <c r="B6" s="33">
        <v>14532</v>
      </c>
      <c r="C6" s="33">
        <v>16632</v>
      </c>
      <c r="D6" s="33">
        <v>15351</v>
      </c>
      <c r="E6" s="33">
        <v>11839</v>
      </c>
      <c r="F6" s="33">
        <v>14339</v>
      </c>
      <c r="G6" s="33">
        <v>19012</v>
      </c>
      <c r="H6" s="33">
        <v>23283</v>
      </c>
      <c r="I6" s="33">
        <v>23988</v>
      </c>
      <c r="J6" s="33">
        <v>21584</v>
      </c>
      <c r="K6" s="33">
        <v>18858</v>
      </c>
      <c r="L6" s="33">
        <v>17131</v>
      </c>
      <c r="M6" s="33">
        <v>15654</v>
      </c>
      <c r="N6" s="33">
        <v>15241</v>
      </c>
      <c r="O6" s="33">
        <v>16042</v>
      </c>
      <c r="P6" s="33">
        <v>15964</v>
      </c>
      <c r="Q6" s="33">
        <v>18178</v>
      </c>
      <c r="R6" s="33">
        <v>19976</v>
      </c>
      <c r="S6" s="33">
        <v>25404</v>
      </c>
      <c r="T6" s="33">
        <v>29021</v>
      </c>
      <c r="U6" s="33">
        <v>35191</v>
      </c>
      <c r="V6" s="33">
        <v>43271</v>
      </c>
      <c r="W6" s="33">
        <v>53624</v>
      </c>
      <c r="X6" s="33">
        <v>61879</v>
      </c>
      <c r="Y6" s="33">
        <v>70381</v>
      </c>
      <c r="Z6" s="33">
        <v>76517</v>
      </c>
      <c r="AA6" s="33">
        <v>80743</v>
      </c>
      <c r="AB6" s="33">
        <v>77164</v>
      </c>
      <c r="AC6" s="33">
        <v>81619</v>
      </c>
      <c r="AD6" s="33">
        <v>80972</v>
      </c>
      <c r="AE6" s="33">
        <v>82028</v>
      </c>
      <c r="AF6" s="33">
        <v>74880</v>
      </c>
      <c r="AG6" s="33">
        <v>69935</v>
      </c>
      <c r="AH6" s="33">
        <v>61768</v>
      </c>
      <c r="AI6" s="33">
        <v>54981</v>
      </c>
      <c r="AJ6" s="33">
        <v>48913</v>
      </c>
      <c r="AK6" s="33">
        <v>47690</v>
      </c>
      <c r="AL6" s="33">
        <v>48206</v>
      </c>
      <c r="AM6" s="33">
        <v>48826</v>
      </c>
      <c r="AN6" s="33">
        <v>51696</v>
      </c>
      <c r="AO6" s="33">
        <v>54986</v>
      </c>
      <c r="AP6" s="33">
        <v>62515</v>
      </c>
      <c r="AQ6" s="33">
        <v>67926</v>
      </c>
      <c r="AR6" s="33">
        <v>76216</v>
      </c>
      <c r="AS6" s="33">
        <v>82294</v>
      </c>
      <c r="AT6" s="33">
        <v>89757</v>
      </c>
      <c r="AU6" s="33">
        <v>99647</v>
      </c>
      <c r="AV6" s="33">
        <v>117398</v>
      </c>
      <c r="AW6" s="33">
        <v>129218</v>
      </c>
      <c r="AX6" s="33">
        <v>133603</v>
      </c>
      <c r="AY6" s="33">
        <v>128003</v>
      </c>
      <c r="AZ6" s="33">
        <v>124712</v>
      </c>
      <c r="BA6" s="33">
        <v>114912</v>
      </c>
      <c r="BB6" s="33">
        <v>107485</v>
      </c>
      <c r="BC6" s="33">
        <v>101342</v>
      </c>
      <c r="BD6" s="33">
        <v>102656</v>
      </c>
      <c r="BE6" s="33">
        <v>104127</v>
      </c>
      <c r="BF6" s="33">
        <v>112669</v>
      </c>
      <c r="BG6" s="33">
        <v>124699</v>
      </c>
      <c r="BH6" s="33">
        <v>139055</v>
      </c>
      <c r="BI6" s="33">
        <v>141440</v>
      </c>
      <c r="BJ6" s="33">
        <v>136179</v>
      </c>
      <c r="BK6" s="33">
        <v>141748</v>
      </c>
      <c r="BL6" s="33">
        <v>152259</v>
      </c>
      <c r="BP6" s="43" t="s">
        <v>128</v>
      </c>
      <c r="BQ6" s="43"/>
      <c r="BR6" s="43"/>
      <c r="BS6" s="43"/>
      <c r="BT6" s="43"/>
      <c r="BU6" s="43"/>
    </row>
    <row r="7" spans="1:73" ht="14.15" customHeight="1" x14ac:dyDescent="0.35">
      <c r="A7" s="32" t="s">
        <v>135</v>
      </c>
      <c r="B7" s="33">
        <v>6319</v>
      </c>
      <c r="C7" s="33">
        <v>6376</v>
      </c>
      <c r="D7" s="33">
        <v>7021</v>
      </c>
      <c r="E7" s="33">
        <v>6236</v>
      </c>
      <c r="F7" s="33">
        <v>6259</v>
      </c>
      <c r="G7" s="33">
        <v>7160</v>
      </c>
      <c r="H7" s="33">
        <v>7747</v>
      </c>
      <c r="I7" s="33">
        <v>7457</v>
      </c>
      <c r="J7" s="33">
        <v>7166</v>
      </c>
      <c r="K7" s="33">
        <v>7303</v>
      </c>
      <c r="L7" s="33">
        <v>7881</v>
      </c>
      <c r="M7" s="33">
        <v>8157</v>
      </c>
      <c r="N7" s="33">
        <v>8582</v>
      </c>
      <c r="O7" s="33">
        <v>8866</v>
      </c>
      <c r="P7" s="33">
        <v>8923</v>
      </c>
      <c r="Q7" s="33">
        <v>9795</v>
      </c>
      <c r="R7" s="33">
        <v>10508</v>
      </c>
      <c r="S7" s="33">
        <v>11152</v>
      </c>
      <c r="T7" s="33">
        <v>13127</v>
      </c>
      <c r="U7" s="33">
        <v>15278</v>
      </c>
      <c r="V7" s="33">
        <v>17729</v>
      </c>
      <c r="W7" s="33">
        <v>20552</v>
      </c>
      <c r="X7" s="33">
        <v>23113</v>
      </c>
      <c r="Y7" s="33">
        <v>27099</v>
      </c>
      <c r="Z7" s="33">
        <v>32279</v>
      </c>
      <c r="AA7" s="33">
        <v>33592</v>
      </c>
      <c r="AB7" s="33">
        <v>34788</v>
      </c>
      <c r="AC7" s="33">
        <v>36997</v>
      </c>
      <c r="AD7" s="33">
        <v>37454</v>
      </c>
      <c r="AE7" s="33">
        <v>34585</v>
      </c>
      <c r="AF7" s="33">
        <v>34628</v>
      </c>
      <c r="AG7" s="33">
        <v>36964</v>
      </c>
      <c r="AH7" s="33">
        <v>34759</v>
      </c>
      <c r="AI7" s="33">
        <v>34590</v>
      </c>
      <c r="AJ7" s="33">
        <v>36490</v>
      </c>
      <c r="AK7" s="33">
        <v>37011</v>
      </c>
      <c r="AL7" s="33">
        <v>37416</v>
      </c>
      <c r="AM7" s="33">
        <v>37359</v>
      </c>
      <c r="AN7" s="33">
        <v>37602</v>
      </c>
      <c r="AO7" s="33">
        <v>40455</v>
      </c>
      <c r="AP7" s="33">
        <v>44389</v>
      </c>
      <c r="AQ7" s="33">
        <v>53098</v>
      </c>
      <c r="AR7" s="33">
        <v>60759</v>
      </c>
      <c r="AS7" s="33">
        <v>65694</v>
      </c>
      <c r="AT7" s="33">
        <v>68629</v>
      </c>
      <c r="AU7" s="33">
        <v>73136</v>
      </c>
      <c r="AV7" s="33">
        <v>75120</v>
      </c>
      <c r="AW7" s="33">
        <v>79030</v>
      </c>
      <c r="AX7" s="33">
        <v>76990</v>
      </c>
      <c r="AY7" s="33">
        <v>74871</v>
      </c>
      <c r="AZ7" s="33">
        <v>70396</v>
      </c>
      <c r="BA7" s="33">
        <v>66892</v>
      </c>
      <c r="BB7" s="33">
        <v>64928</v>
      </c>
      <c r="BC7" s="33">
        <v>64124</v>
      </c>
      <c r="BD7" s="33">
        <v>64873</v>
      </c>
      <c r="BE7" s="33">
        <v>68127</v>
      </c>
      <c r="BF7" s="33">
        <v>76976</v>
      </c>
      <c r="BG7" s="33">
        <v>89280</v>
      </c>
      <c r="BH7" s="33">
        <v>99875</v>
      </c>
      <c r="BI7" s="33">
        <v>105663</v>
      </c>
      <c r="BJ7" s="33">
        <v>107059</v>
      </c>
      <c r="BK7" s="33">
        <v>121954</v>
      </c>
      <c r="BL7" s="33">
        <v>137959</v>
      </c>
    </row>
    <row r="8" spans="1:73" ht="14.15" customHeight="1" x14ac:dyDescent="0.35">
      <c r="A8" s="32" t="s">
        <v>136</v>
      </c>
      <c r="B8" s="33">
        <v>1347</v>
      </c>
      <c r="C8" s="33">
        <v>1144</v>
      </c>
      <c r="D8" s="33">
        <v>1026</v>
      </c>
      <c r="E8" s="33">
        <v>1007</v>
      </c>
      <c r="F8" s="33">
        <v>1334</v>
      </c>
      <c r="G8" s="33">
        <v>1536</v>
      </c>
      <c r="H8" s="33">
        <v>1281</v>
      </c>
      <c r="I8" s="33">
        <v>1389</v>
      </c>
      <c r="J8" s="33">
        <v>1168</v>
      </c>
      <c r="K8" s="33">
        <v>1095</v>
      </c>
      <c r="L8" s="33">
        <v>1108</v>
      </c>
      <c r="M8" s="33">
        <v>1119</v>
      </c>
      <c r="N8" s="33">
        <v>1407</v>
      </c>
      <c r="O8" s="33">
        <v>1462</v>
      </c>
      <c r="P8" s="33">
        <v>2019</v>
      </c>
      <c r="Q8" s="33">
        <v>1914</v>
      </c>
      <c r="R8" s="33">
        <v>1932</v>
      </c>
      <c r="S8" s="33">
        <v>2080</v>
      </c>
      <c r="T8" s="33">
        <v>2450</v>
      </c>
      <c r="U8" s="33">
        <v>2458</v>
      </c>
      <c r="V8" s="33">
        <v>2922</v>
      </c>
      <c r="W8" s="33">
        <v>3524</v>
      </c>
      <c r="X8" s="33">
        <v>3705</v>
      </c>
      <c r="Y8" s="33">
        <v>4260</v>
      </c>
      <c r="Z8" s="33">
        <v>5067</v>
      </c>
      <c r="AA8" s="33">
        <v>5853</v>
      </c>
      <c r="AB8" s="33">
        <v>5874</v>
      </c>
      <c r="AC8" s="33">
        <v>5275</v>
      </c>
      <c r="AD8" s="33">
        <v>5080</v>
      </c>
      <c r="AE8" s="33">
        <v>3497</v>
      </c>
      <c r="AF8" s="33">
        <v>4262</v>
      </c>
      <c r="AG8" s="33">
        <v>4831</v>
      </c>
      <c r="AH8" s="33">
        <v>4979</v>
      </c>
      <c r="AI8" s="33">
        <v>6823</v>
      </c>
      <c r="AJ8" s="33">
        <v>6683</v>
      </c>
      <c r="AK8" s="33">
        <v>6187</v>
      </c>
      <c r="AL8" s="33">
        <v>6044</v>
      </c>
      <c r="AM8" s="33">
        <v>5521</v>
      </c>
      <c r="AN8" s="33">
        <v>5109</v>
      </c>
      <c r="AO8" s="33">
        <v>4977</v>
      </c>
      <c r="AP8" s="33">
        <v>5052</v>
      </c>
      <c r="AQ8" s="33">
        <v>5851</v>
      </c>
      <c r="AR8" s="33">
        <v>6312</v>
      </c>
      <c r="AS8" s="33">
        <v>5331</v>
      </c>
      <c r="AT8" s="33">
        <v>6245</v>
      </c>
      <c r="AU8" s="33">
        <v>7899</v>
      </c>
      <c r="AV8" s="33">
        <v>11563</v>
      </c>
      <c r="AW8" s="33">
        <v>17614</v>
      </c>
      <c r="AX8" s="33">
        <v>21169</v>
      </c>
      <c r="AY8" s="33">
        <v>19917</v>
      </c>
      <c r="AZ8" s="33">
        <v>14553</v>
      </c>
      <c r="BA8" s="33">
        <v>12318</v>
      </c>
      <c r="BB8" s="33">
        <v>9823</v>
      </c>
      <c r="BC8" s="33">
        <v>8132</v>
      </c>
      <c r="BD8" s="33">
        <v>6677</v>
      </c>
      <c r="BE8" s="33">
        <v>6671</v>
      </c>
      <c r="BF8" s="33">
        <v>6706</v>
      </c>
      <c r="BG8" s="33">
        <v>7412</v>
      </c>
      <c r="BH8" s="33">
        <v>8882</v>
      </c>
      <c r="BI8" s="33">
        <v>9146</v>
      </c>
      <c r="BJ8" s="33">
        <v>9726</v>
      </c>
      <c r="BK8" s="33">
        <v>10345</v>
      </c>
      <c r="BL8" s="33">
        <v>12069</v>
      </c>
    </row>
    <row r="9" spans="1:73" ht="14.15" customHeight="1" x14ac:dyDescent="0.35">
      <c r="A9" s="32" t="s">
        <v>137</v>
      </c>
      <c r="B9" s="33">
        <v>259</v>
      </c>
      <c r="C9" s="33">
        <v>563</v>
      </c>
      <c r="D9" s="33">
        <v>550</v>
      </c>
      <c r="E9" s="33">
        <v>563</v>
      </c>
      <c r="F9" s="33">
        <v>569</v>
      </c>
      <c r="G9" s="33">
        <v>485</v>
      </c>
      <c r="H9" s="33">
        <v>495</v>
      </c>
      <c r="I9" s="33">
        <v>574</v>
      </c>
      <c r="J9" s="33">
        <v>614</v>
      </c>
      <c r="K9" s="33">
        <v>598</v>
      </c>
      <c r="L9" s="33">
        <v>688</v>
      </c>
      <c r="M9" s="33">
        <v>729</v>
      </c>
      <c r="N9" s="33">
        <v>884</v>
      </c>
      <c r="O9" s="33">
        <v>1124</v>
      </c>
      <c r="P9" s="33">
        <v>1192</v>
      </c>
      <c r="Q9" s="33">
        <v>1358</v>
      </c>
      <c r="R9" s="33">
        <v>1405</v>
      </c>
      <c r="S9" s="33">
        <v>1468</v>
      </c>
      <c r="T9" s="33">
        <v>1680</v>
      </c>
      <c r="U9" s="33">
        <v>1721</v>
      </c>
      <c r="V9" s="33">
        <v>1993</v>
      </c>
      <c r="W9" s="33">
        <v>2126</v>
      </c>
      <c r="X9" s="33">
        <v>2413</v>
      </c>
      <c r="Y9" s="33">
        <v>2642</v>
      </c>
      <c r="Z9" s="33">
        <v>2819</v>
      </c>
      <c r="AA9" s="33">
        <v>2908</v>
      </c>
      <c r="AB9" s="33">
        <v>3082</v>
      </c>
      <c r="AC9" s="33">
        <v>3257</v>
      </c>
      <c r="AD9" s="33">
        <v>3501</v>
      </c>
      <c r="AE9" s="33">
        <v>3296</v>
      </c>
      <c r="AF9" s="33">
        <v>3271</v>
      </c>
      <c r="AG9" s="33">
        <v>3255</v>
      </c>
      <c r="AH9" s="33">
        <v>3316</v>
      </c>
      <c r="AI9" s="33">
        <v>3571</v>
      </c>
      <c r="AJ9" s="33">
        <v>3828</v>
      </c>
      <c r="AK9" s="33">
        <v>4003</v>
      </c>
      <c r="AL9" s="33">
        <v>3871</v>
      </c>
      <c r="AM9" s="33">
        <v>3692</v>
      </c>
      <c r="AN9" s="33">
        <v>3413</v>
      </c>
      <c r="AO9" s="33">
        <v>3516</v>
      </c>
      <c r="AP9" s="33">
        <v>3736</v>
      </c>
      <c r="AQ9" s="33">
        <v>3784</v>
      </c>
      <c r="AR9" s="33">
        <v>3905</v>
      </c>
      <c r="AS9" s="33">
        <v>3720</v>
      </c>
      <c r="AT9" s="33">
        <v>3717</v>
      </c>
      <c r="AU9" s="33">
        <v>3473</v>
      </c>
      <c r="AV9" s="33">
        <v>3590</v>
      </c>
      <c r="AW9" s="33">
        <v>2721</v>
      </c>
      <c r="AX9" s="33">
        <v>3173</v>
      </c>
      <c r="AY9" s="33">
        <v>3432</v>
      </c>
      <c r="AZ9" s="33">
        <v>2331</v>
      </c>
      <c r="BA9" s="33">
        <v>1829</v>
      </c>
      <c r="BB9" s="33">
        <v>1354</v>
      </c>
      <c r="BC9" s="33">
        <v>1198</v>
      </c>
      <c r="BD9" s="33">
        <v>1304</v>
      </c>
      <c r="BE9" s="33">
        <v>1207</v>
      </c>
      <c r="BF9" s="33">
        <v>1155</v>
      </c>
      <c r="BG9" s="33">
        <v>1166</v>
      </c>
      <c r="BH9" s="33">
        <v>1293</v>
      </c>
      <c r="BI9" s="33">
        <v>1450</v>
      </c>
      <c r="BJ9" s="33">
        <v>1423</v>
      </c>
      <c r="BK9" s="33">
        <v>1469</v>
      </c>
      <c r="BL9" s="33">
        <v>1547</v>
      </c>
    </row>
    <row r="10" spans="1:73" ht="14.15" customHeight="1" x14ac:dyDescent="0.35">
      <c r="A10" s="32" t="s">
        <v>97</v>
      </c>
      <c r="B10" s="33">
        <v>-271</v>
      </c>
      <c r="C10" s="33">
        <v>-1696</v>
      </c>
      <c r="D10" s="33">
        <v>-717</v>
      </c>
      <c r="E10" s="33">
        <v>-1127</v>
      </c>
      <c r="F10" s="33">
        <v>-590</v>
      </c>
      <c r="G10" s="33">
        <v>-76</v>
      </c>
      <c r="H10" s="33">
        <v>1853</v>
      </c>
      <c r="I10" s="33">
        <v>-1777</v>
      </c>
      <c r="J10" s="33">
        <v>-1050</v>
      </c>
      <c r="K10" s="33">
        <v>-376</v>
      </c>
      <c r="L10" s="33">
        <v>-409</v>
      </c>
      <c r="M10" s="33">
        <v>-1468</v>
      </c>
      <c r="N10" s="33">
        <v>-1137</v>
      </c>
      <c r="O10" s="33">
        <v>-1101</v>
      </c>
      <c r="P10" s="33">
        <v>-563</v>
      </c>
      <c r="Q10" s="33">
        <v>-357</v>
      </c>
      <c r="R10" s="33">
        <v>-694</v>
      </c>
      <c r="S10" s="33">
        <v>-284</v>
      </c>
      <c r="T10" s="33">
        <v>-1050</v>
      </c>
      <c r="U10" s="33">
        <v>-605</v>
      </c>
      <c r="V10" s="33">
        <v>-65</v>
      </c>
      <c r="W10" s="33">
        <v>-1236</v>
      </c>
      <c r="X10" s="33">
        <v>-1734</v>
      </c>
      <c r="Y10" s="33">
        <v>548</v>
      </c>
      <c r="Z10" s="33">
        <v>1993</v>
      </c>
      <c r="AA10" s="33">
        <v>2637</v>
      </c>
      <c r="AB10" s="33">
        <v>209</v>
      </c>
      <c r="AC10" s="33">
        <v>46</v>
      </c>
      <c r="AD10" s="33">
        <v>-1228</v>
      </c>
      <c r="AE10" s="33">
        <v>-46236</v>
      </c>
      <c r="AF10" s="33">
        <v>-3317</v>
      </c>
      <c r="AG10" s="33">
        <v>-6429</v>
      </c>
      <c r="AH10" s="33">
        <v>2727</v>
      </c>
      <c r="AI10" s="33">
        <v>-2418</v>
      </c>
      <c r="AJ10" s="33">
        <v>1836</v>
      </c>
      <c r="AK10" s="33">
        <v>1228</v>
      </c>
      <c r="AL10" s="33">
        <v>-2132</v>
      </c>
      <c r="AM10" s="33">
        <v>-47</v>
      </c>
      <c r="AN10" s="33">
        <v>1447</v>
      </c>
      <c r="AO10" s="33">
        <v>310</v>
      </c>
      <c r="AP10" s="33">
        <v>-651</v>
      </c>
      <c r="AQ10" s="33">
        <v>-1675</v>
      </c>
      <c r="AR10" s="33">
        <v>1626</v>
      </c>
      <c r="AS10" s="33">
        <v>1451</v>
      </c>
      <c r="AT10" s="33">
        <v>-383</v>
      </c>
      <c r="AU10" s="33">
        <v>218</v>
      </c>
      <c r="AV10" s="33">
        <v>3185</v>
      </c>
      <c r="AW10" s="33">
        <v>1499</v>
      </c>
      <c r="AX10" s="33">
        <v>90</v>
      </c>
      <c r="AY10" s="33">
        <v>-805</v>
      </c>
      <c r="AZ10" s="33">
        <v>4296</v>
      </c>
      <c r="BA10" s="33">
        <v>1357</v>
      </c>
      <c r="BB10" s="33">
        <v>903</v>
      </c>
      <c r="BC10" s="33">
        <v>-4742</v>
      </c>
      <c r="BD10" s="33">
        <v>-1243</v>
      </c>
      <c r="BE10" s="33">
        <v>-1120</v>
      </c>
      <c r="BF10" s="33">
        <v>816</v>
      </c>
      <c r="BG10" s="33">
        <v>3166</v>
      </c>
      <c r="BH10" s="33">
        <v>968</v>
      </c>
      <c r="BI10" s="33">
        <v>1114</v>
      </c>
      <c r="BJ10" s="33">
        <v>28</v>
      </c>
      <c r="BK10" s="33">
        <v>-1111</v>
      </c>
      <c r="BL10" s="33">
        <v>-1553</v>
      </c>
    </row>
    <row r="11" spans="1:73" ht="14.15" customHeight="1" x14ac:dyDescent="0.35">
      <c r="A11" s="31" t="s">
        <v>138</v>
      </c>
      <c r="B11" s="34">
        <v>50111</v>
      </c>
      <c r="C11" s="34">
        <v>51147</v>
      </c>
      <c r="D11" s="34">
        <v>52585</v>
      </c>
      <c r="E11" s="34">
        <v>48780</v>
      </c>
      <c r="F11" s="34">
        <v>56629</v>
      </c>
      <c r="G11" s="34">
        <v>70069</v>
      </c>
      <c r="H11" s="34">
        <v>80355</v>
      </c>
      <c r="I11" s="34">
        <v>80771</v>
      </c>
      <c r="J11" s="34">
        <v>80123</v>
      </c>
      <c r="K11" s="34">
        <v>77497</v>
      </c>
      <c r="L11" s="34">
        <v>77645</v>
      </c>
      <c r="M11" s="34">
        <v>75033</v>
      </c>
      <c r="N11" s="34">
        <v>77864</v>
      </c>
      <c r="O11" s="34">
        <v>84852</v>
      </c>
      <c r="P11" s="34">
        <v>87917</v>
      </c>
      <c r="Q11" s="34">
        <v>95147</v>
      </c>
      <c r="R11" s="34">
        <v>102259</v>
      </c>
      <c r="S11" s="34">
        <v>113605</v>
      </c>
      <c r="T11" s="34">
        <v>130912</v>
      </c>
      <c r="U11" s="34">
        <v>153861</v>
      </c>
      <c r="V11" s="34">
        <v>180693</v>
      </c>
      <c r="W11" s="34">
        <v>204356</v>
      </c>
      <c r="X11" s="34">
        <v>220863</v>
      </c>
      <c r="Y11" s="34">
        <v>245109</v>
      </c>
      <c r="Z11" s="34">
        <v>265440</v>
      </c>
      <c r="AA11" s="34">
        <v>273919</v>
      </c>
      <c r="AB11" s="34">
        <v>281889</v>
      </c>
      <c r="AC11" s="34">
        <v>294829</v>
      </c>
      <c r="AD11" s="34">
        <v>289694</v>
      </c>
      <c r="AE11" s="34">
        <v>262324</v>
      </c>
      <c r="AF11" s="34">
        <v>286834</v>
      </c>
      <c r="AG11" s="34">
        <v>278497</v>
      </c>
      <c r="AH11" s="34">
        <v>268553</v>
      </c>
      <c r="AI11" s="34">
        <v>259373</v>
      </c>
      <c r="AJ11" s="34">
        <v>253130</v>
      </c>
      <c r="AK11" s="34">
        <v>258251</v>
      </c>
      <c r="AL11" s="34">
        <v>255793</v>
      </c>
      <c r="AM11" s="34">
        <v>261198</v>
      </c>
      <c r="AN11" s="34">
        <v>281029</v>
      </c>
      <c r="AO11" s="34">
        <v>290185</v>
      </c>
      <c r="AP11" s="34">
        <v>331845</v>
      </c>
      <c r="AQ11" s="34">
        <v>387136</v>
      </c>
      <c r="AR11" s="34">
        <v>436439</v>
      </c>
      <c r="AS11" s="34">
        <v>474071</v>
      </c>
      <c r="AT11" s="34">
        <v>499297</v>
      </c>
      <c r="AU11" s="34">
        <v>528548</v>
      </c>
      <c r="AV11" s="34">
        <v>594632</v>
      </c>
      <c r="AW11" s="34">
        <v>636742</v>
      </c>
      <c r="AX11" s="34">
        <v>666703</v>
      </c>
      <c r="AY11" s="34">
        <v>678064</v>
      </c>
      <c r="AZ11" s="34">
        <v>650851</v>
      </c>
      <c r="BA11" s="34">
        <v>607795</v>
      </c>
      <c r="BB11" s="34">
        <v>577897</v>
      </c>
      <c r="BC11" s="34">
        <v>562499</v>
      </c>
      <c r="BD11" s="34">
        <v>565370</v>
      </c>
      <c r="BE11" s="34">
        <v>568897</v>
      </c>
      <c r="BF11" s="34">
        <v>600804</v>
      </c>
      <c r="BG11" s="34">
        <v>653690</v>
      </c>
      <c r="BH11" s="34">
        <v>690363</v>
      </c>
      <c r="BI11" s="34">
        <v>717577</v>
      </c>
      <c r="BJ11" s="34">
        <v>726458</v>
      </c>
      <c r="BK11" s="34">
        <v>775874</v>
      </c>
      <c r="BL11" s="34">
        <v>826275</v>
      </c>
    </row>
    <row r="12" spans="1:73" ht="14.15" customHeight="1" x14ac:dyDescent="0.35">
      <c r="A12" s="31" t="s">
        <v>139</v>
      </c>
      <c r="B12" s="35">
        <v>2074</v>
      </c>
      <c r="C12" s="35">
        <v>2041</v>
      </c>
      <c r="D12" s="35">
        <v>1902</v>
      </c>
      <c r="E12" s="35">
        <v>1620</v>
      </c>
      <c r="F12" s="35">
        <v>1466</v>
      </c>
      <c r="G12" s="35">
        <v>1277</v>
      </c>
      <c r="H12" s="35">
        <v>1336</v>
      </c>
      <c r="I12" s="35">
        <v>1389</v>
      </c>
      <c r="J12" s="35">
        <v>1415</v>
      </c>
      <c r="K12" s="35">
        <v>1385</v>
      </c>
      <c r="L12" s="35">
        <v>1373</v>
      </c>
      <c r="M12" s="35">
        <v>1409</v>
      </c>
      <c r="N12" s="35">
        <v>1486</v>
      </c>
      <c r="O12" s="35">
        <v>1506</v>
      </c>
      <c r="P12" s="35">
        <v>1565</v>
      </c>
      <c r="Q12" s="35">
        <v>1936</v>
      </c>
      <c r="R12" s="35">
        <v>2070</v>
      </c>
      <c r="S12" s="35">
        <v>2541</v>
      </c>
      <c r="T12" s="35">
        <v>2878</v>
      </c>
      <c r="U12" s="35">
        <v>3398</v>
      </c>
      <c r="V12" s="35">
        <v>4309</v>
      </c>
      <c r="W12" s="35">
        <v>5171</v>
      </c>
      <c r="X12" s="35">
        <v>6120</v>
      </c>
      <c r="Y12" s="35">
        <v>7098</v>
      </c>
      <c r="Z12" s="35">
        <v>7445</v>
      </c>
      <c r="AA12" s="35">
        <v>7451</v>
      </c>
      <c r="AB12" s="35">
        <v>7913</v>
      </c>
      <c r="AC12" s="35">
        <v>8119</v>
      </c>
      <c r="AD12" s="35">
        <v>8988</v>
      </c>
      <c r="AE12" s="35">
        <v>9998</v>
      </c>
      <c r="AF12" s="35">
        <v>10613</v>
      </c>
      <c r="AG12" s="35">
        <v>11011</v>
      </c>
      <c r="AH12" s="35">
        <v>11884</v>
      </c>
      <c r="AI12" s="35">
        <v>11769</v>
      </c>
      <c r="AJ12" s="35">
        <v>11637</v>
      </c>
      <c r="AK12" s="35">
        <v>11267</v>
      </c>
      <c r="AL12" s="35">
        <v>11262</v>
      </c>
      <c r="AM12" s="35">
        <v>12221</v>
      </c>
      <c r="AN12" s="35">
        <v>12138</v>
      </c>
      <c r="AO12" s="35">
        <v>12931</v>
      </c>
      <c r="AP12" s="35">
        <v>14795</v>
      </c>
      <c r="AQ12" s="35">
        <v>16018</v>
      </c>
      <c r="AR12" s="35">
        <v>16605</v>
      </c>
      <c r="AS12" s="35">
        <v>18031</v>
      </c>
      <c r="AT12" s="35">
        <v>17465</v>
      </c>
      <c r="AU12" s="35">
        <v>17042</v>
      </c>
      <c r="AV12" s="35">
        <v>17122</v>
      </c>
      <c r="AW12" s="35">
        <v>17546</v>
      </c>
      <c r="AX12" s="35">
        <v>19308</v>
      </c>
      <c r="AY12" s="35">
        <v>20410</v>
      </c>
      <c r="AZ12" s="35">
        <v>19246</v>
      </c>
      <c r="BA12" s="35">
        <v>17634</v>
      </c>
      <c r="BB12" s="35">
        <v>17416</v>
      </c>
      <c r="BC12" s="35">
        <v>18692</v>
      </c>
      <c r="BD12" s="35">
        <v>19387</v>
      </c>
      <c r="BE12" s="35">
        <v>20482</v>
      </c>
      <c r="BF12" s="35">
        <v>20919</v>
      </c>
      <c r="BG12" s="35">
        <v>22767</v>
      </c>
      <c r="BH12" s="35">
        <v>24479</v>
      </c>
      <c r="BI12" s="33">
        <v>25800</v>
      </c>
      <c r="BJ12" s="33">
        <v>28291</v>
      </c>
      <c r="BK12" s="33">
        <v>32563</v>
      </c>
      <c r="BL12" s="33">
        <v>34916</v>
      </c>
    </row>
    <row r="13" spans="1:73" ht="14.15" customHeight="1" x14ac:dyDescent="0.35">
      <c r="A13" s="31" t="s">
        <v>140</v>
      </c>
      <c r="B13" s="35">
        <v>160</v>
      </c>
      <c r="C13" s="35">
        <v>212</v>
      </c>
      <c r="D13" s="35">
        <v>270</v>
      </c>
      <c r="E13" s="35">
        <v>220</v>
      </c>
      <c r="F13" s="35">
        <v>16</v>
      </c>
      <c r="G13" s="35">
        <v>71</v>
      </c>
      <c r="H13" s="35">
        <v>235</v>
      </c>
      <c r="I13" s="35">
        <v>337</v>
      </c>
      <c r="J13" s="35">
        <v>154</v>
      </c>
      <c r="K13" s="35">
        <v>-10</v>
      </c>
      <c r="L13" s="35">
        <v>156</v>
      </c>
      <c r="M13" s="35">
        <v>240</v>
      </c>
      <c r="N13" s="35">
        <v>-3</v>
      </c>
      <c r="O13" s="35">
        <v>151</v>
      </c>
      <c r="P13" s="35">
        <v>137</v>
      </c>
      <c r="Q13" s="35">
        <v>158</v>
      </c>
      <c r="R13" s="35">
        <v>166</v>
      </c>
      <c r="S13" s="35">
        <v>196</v>
      </c>
      <c r="T13" s="35">
        <v>206</v>
      </c>
      <c r="U13" s="35">
        <v>253</v>
      </c>
      <c r="V13" s="35">
        <v>307</v>
      </c>
      <c r="W13" s="35">
        <v>375</v>
      </c>
      <c r="X13" s="35">
        <v>428</v>
      </c>
      <c r="Y13" s="35">
        <v>535</v>
      </c>
      <c r="Z13" s="35">
        <v>487</v>
      </c>
      <c r="AA13" s="35">
        <v>626</v>
      </c>
      <c r="AB13" s="35">
        <v>557</v>
      </c>
      <c r="AC13" s="35">
        <v>606</v>
      </c>
      <c r="AD13" s="35">
        <v>639</v>
      </c>
      <c r="AE13" s="35">
        <v>964</v>
      </c>
      <c r="AF13" s="35">
        <v>899</v>
      </c>
      <c r="AG13" s="35">
        <v>1577</v>
      </c>
      <c r="AH13" s="35">
        <v>1202</v>
      </c>
      <c r="AI13" s="35">
        <v>921</v>
      </c>
      <c r="AJ13" s="35">
        <v>981</v>
      </c>
      <c r="AK13" s="35">
        <v>984</v>
      </c>
      <c r="AL13" s="35">
        <v>1139</v>
      </c>
      <c r="AM13" s="35">
        <v>1350</v>
      </c>
      <c r="AN13" s="35">
        <v>1196</v>
      </c>
      <c r="AO13" s="35">
        <v>1616</v>
      </c>
      <c r="AP13" s="35">
        <v>1816</v>
      </c>
      <c r="AQ13" s="35">
        <v>1579</v>
      </c>
      <c r="AR13" s="35">
        <v>2769</v>
      </c>
      <c r="AS13" s="35">
        <v>3192</v>
      </c>
      <c r="AT13" s="35">
        <v>5058</v>
      </c>
      <c r="AU13" s="35">
        <v>5668</v>
      </c>
      <c r="AV13" s="35">
        <v>4312</v>
      </c>
      <c r="AW13" s="35">
        <v>6724</v>
      </c>
      <c r="AX13" s="35">
        <v>7474</v>
      </c>
      <c r="AY13" s="35">
        <v>7080</v>
      </c>
      <c r="AZ13" s="35">
        <v>7755</v>
      </c>
      <c r="BA13" s="35">
        <v>8017</v>
      </c>
      <c r="BB13" s="35">
        <v>8144</v>
      </c>
      <c r="BC13" s="35">
        <v>8468</v>
      </c>
      <c r="BD13" s="35">
        <v>8615</v>
      </c>
      <c r="BE13" s="35">
        <v>9344</v>
      </c>
      <c r="BF13" s="35">
        <v>9528</v>
      </c>
      <c r="BG13" s="35">
        <v>9250</v>
      </c>
      <c r="BH13" s="35">
        <v>9746</v>
      </c>
      <c r="BI13" s="33">
        <v>10520</v>
      </c>
      <c r="BJ13" s="33">
        <v>10900</v>
      </c>
      <c r="BK13" s="33">
        <v>11826</v>
      </c>
      <c r="BL13" s="33">
        <v>12332</v>
      </c>
    </row>
    <row r="14" spans="1:73" ht="14.15" customHeight="1" x14ac:dyDescent="0.35">
      <c r="A14" s="31" t="s">
        <v>141</v>
      </c>
      <c r="B14" s="36">
        <v>52345</v>
      </c>
      <c r="C14" s="36">
        <v>53400</v>
      </c>
      <c r="D14" s="36">
        <v>54757</v>
      </c>
      <c r="E14" s="36">
        <v>50620</v>
      </c>
      <c r="F14" s="36">
        <v>58111</v>
      </c>
      <c r="G14" s="36">
        <v>71417</v>
      </c>
      <c r="H14" s="36">
        <v>81926</v>
      </c>
      <c r="I14" s="36">
        <v>82497</v>
      </c>
      <c r="J14" s="36">
        <v>81692</v>
      </c>
      <c r="K14" s="36">
        <v>78872</v>
      </c>
      <c r="L14" s="36">
        <v>79174</v>
      </c>
      <c r="M14" s="36">
        <v>76681</v>
      </c>
      <c r="N14" s="36">
        <v>79347</v>
      </c>
      <c r="O14" s="36">
        <v>86509</v>
      </c>
      <c r="P14" s="36">
        <v>89619</v>
      </c>
      <c r="Q14" s="36">
        <v>97241</v>
      </c>
      <c r="R14" s="36">
        <v>104495</v>
      </c>
      <c r="S14" s="36">
        <v>116342</v>
      </c>
      <c r="T14" s="36">
        <v>133995</v>
      </c>
      <c r="U14" s="36">
        <v>157513</v>
      </c>
      <c r="V14" s="36">
        <v>185309</v>
      </c>
      <c r="W14" s="36">
        <v>209903</v>
      </c>
      <c r="X14" s="36">
        <v>227411</v>
      </c>
      <c r="Y14" s="36">
        <v>252743</v>
      </c>
      <c r="Z14" s="36">
        <v>273373</v>
      </c>
      <c r="AA14" s="36">
        <v>281996</v>
      </c>
      <c r="AB14" s="36">
        <v>290360</v>
      </c>
      <c r="AC14" s="36">
        <v>303555</v>
      </c>
      <c r="AD14" s="36">
        <v>299321</v>
      </c>
      <c r="AE14" s="36">
        <v>273285</v>
      </c>
      <c r="AF14" s="36">
        <v>298346</v>
      </c>
      <c r="AG14" s="36">
        <v>291084</v>
      </c>
      <c r="AH14" s="36">
        <v>281640</v>
      </c>
      <c r="AI14" s="36">
        <v>272063</v>
      </c>
      <c r="AJ14" s="36">
        <v>265748</v>
      </c>
      <c r="AK14" s="36">
        <v>270502</v>
      </c>
      <c r="AL14" s="36">
        <v>268194</v>
      </c>
      <c r="AM14" s="36">
        <v>274769</v>
      </c>
      <c r="AN14" s="36">
        <v>294363</v>
      </c>
      <c r="AO14" s="36">
        <v>304732</v>
      </c>
      <c r="AP14" s="36">
        <v>348456</v>
      </c>
      <c r="AQ14" s="36">
        <v>404733</v>
      </c>
      <c r="AR14" s="36">
        <v>455813</v>
      </c>
      <c r="AS14" s="36">
        <v>495294</v>
      </c>
      <c r="AT14" s="36">
        <v>521820</v>
      </c>
      <c r="AU14" s="36">
        <v>551258</v>
      </c>
      <c r="AV14" s="36">
        <v>616066</v>
      </c>
      <c r="AW14" s="36">
        <v>661012</v>
      </c>
      <c r="AX14" s="36">
        <v>693485</v>
      </c>
      <c r="AY14" s="36">
        <v>705554</v>
      </c>
      <c r="AZ14" s="36">
        <v>677852</v>
      </c>
      <c r="BA14" s="36">
        <v>633446</v>
      </c>
      <c r="BB14" s="36">
        <v>603457</v>
      </c>
      <c r="BC14" s="36">
        <v>589659</v>
      </c>
      <c r="BD14" s="36">
        <v>593372</v>
      </c>
      <c r="BE14" s="36">
        <v>598723</v>
      </c>
      <c r="BF14" s="36">
        <v>631251</v>
      </c>
      <c r="BG14" s="36">
        <v>685707</v>
      </c>
      <c r="BH14" s="36">
        <v>724588</v>
      </c>
      <c r="BI14" s="34">
        <v>753897</v>
      </c>
      <c r="BJ14" s="34">
        <v>765649</v>
      </c>
      <c r="BK14" s="34">
        <v>820263</v>
      </c>
      <c r="BL14" s="34">
        <v>873523</v>
      </c>
    </row>
    <row r="15" spans="1:73" ht="14.15" customHeight="1" x14ac:dyDescent="0.35">
      <c r="A15" s="28" t="s">
        <v>142</v>
      </c>
      <c r="B15" s="29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J15" s="22"/>
      <c r="BK15" s="22"/>
      <c r="BL15" s="22"/>
    </row>
    <row r="16" spans="1:73" ht="14.15" customHeight="1" x14ac:dyDescent="0.35">
      <c r="A16" s="31" t="s">
        <v>143</v>
      </c>
      <c r="B16" s="35">
        <v>2883</v>
      </c>
      <c r="C16" s="35">
        <v>3079</v>
      </c>
      <c r="D16" s="35">
        <v>3367</v>
      </c>
      <c r="E16" s="35">
        <v>3357</v>
      </c>
      <c r="F16" s="35">
        <v>3478</v>
      </c>
      <c r="G16" s="35">
        <v>3085</v>
      </c>
      <c r="H16" s="35">
        <v>2879</v>
      </c>
      <c r="I16" s="35">
        <v>2484</v>
      </c>
      <c r="J16" s="35">
        <v>2341</v>
      </c>
      <c r="K16" s="35">
        <v>2296</v>
      </c>
      <c r="L16" s="35">
        <v>2394</v>
      </c>
      <c r="M16" s="35">
        <v>1741</v>
      </c>
      <c r="N16" s="35">
        <v>2430</v>
      </c>
      <c r="O16" s="35">
        <v>3134</v>
      </c>
      <c r="P16" s="35">
        <v>2636</v>
      </c>
      <c r="Q16" s="35">
        <v>2823</v>
      </c>
      <c r="R16" s="35">
        <v>2647</v>
      </c>
      <c r="S16" s="35">
        <v>2910</v>
      </c>
      <c r="T16" s="35">
        <v>3626</v>
      </c>
      <c r="U16" s="35">
        <v>4131</v>
      </c>
      <c r="V16" s="35">
        <v>3772</v>
      </c>
      <c r="W16" s="35">
        <v>3955</v>
      </c>
      <c r="X16" s="35">
        <v>4478</v>
      </c>
      <c r="Y16" s="35">
        <v>5408</v>
      </c>
      <c r="Z16" s="35">
        <v>4967</v>
      </c>
      <c r="AA16" s="35">
        <v>4319</v>
      </c>
      <c r="AB16" s="35">
        <v>4703</v>
      </c>
      <c r="AC16" s="35">
        <v>4836</v>
      </c>
      <c r="AD16" s="35">
        <v>5498</v>
      </c>
      <c r="AE16" s="35">
        <v>5141</v>
      </c>
      <c r="AF16" s="35">
        <v>6132</v>
      </c>
      <c r="AG16" s="35">
        <v>5825</v>
      </c>
      <c r="AH16" s="35">
        <v>7048</v>
      </c>
      <c r="AI16" s="35">
        <v>7598</v>
      </c>
      <c r="AJ16" s="35">
        <v>6160</v>
      </c>
      <c r="AK16" s="35">
        <v>6003</v>
      </c>
      <c r="AL16" s="35">
        <v>5395</v>
      </c>
      <c r="AM16" s="35">
        <v>5653</v>
      </c>
      <c r="AN16" s="35">
        <v>6516</v>
      </c>
      <c r="AO16" s="35">
        <v>7185</v>
      </c>
      <c r="AP16" s="35">
        <v>7812</v>
      </c>
      <c r="AQ16" s="35">
        <v>10324</v>
      </c>
      <c r="AR16" s="35">
        <v>13807</v>
      </c>
      <c r="AS16" s="35">
        <v>17696</v>
      </c>
      <c r="AT16" s="35">
        <v>16693</v>
      </c>
      <c r="AU16" s="35">
        <v>15524</v>
      </c>
      <c r="AV16" s="35">
        <v>14074</v>
      </c>
      <c r="AW16" s="35">
        <v>22095</v>
      </c>
      <c r="AX16" s="35">
        <v>19014</v>
      </c>
      <c r="AY16" s="35">
        <v>21255</v>
      </c>
      <c r="AZ16" s="35">
        <v>21882</v>
      </c>
      <c r="BA16" s="35">
        <v>22551</v>
      </c>
      <c r="BB16" s="35">
        <v>23534</v>
      </c>
      <c r="BC16" s="35">
        <v>24087</v>
      </c>
      <c r="BD16" s="35">
        <v>24129</v>
      </c>
      <c r="BE16" s="35">
        <v>24542</v>
      </c>
      <c r="BF16" s="35">
        <v>25102</v>
      </c>
      <c r="BG16" s="35">
        <v>26270</v>
      </c>
      <c r="BH16" s="35">
        <v>28226</v>
      </c>
      <c r="BI16" s="33">
        <v>33428</v>
      </c>
      <c r="BJ16" s="33">
        <v>34163</v>
      </c>
      <c r="BK16" s="33">
        <v>37576</v>
      </c>
      <c r="BL16" s="33">
        <v>37350</v>
      </c>
    </row>
    <row r="17" spans="1:64" ht="14.15" customHeight="1" x14ac:dyDescent="0.35">
      <c r="A17" s="31" t="s">
        <v>144</v>
      </c>
      <c r="B17" s="35">
        <v>1958</v>
      </c>
      <c r="C17" s="35">
        <v>2185</v>
      </c>
      <c r="D17" s="35">
        <v>1830</v>
      </c>
      <c r="E17" s="35">
        <v>1599</v>
      </c>
      <c r="F17" s="35">
        <v>1590</v>
      </c>
      <c r="G17" s="35">
        <v>1530</v>
      </c>
      <c r="H17" s="35">
        <v>1051</v>
      </c>
      <c r="I17" s="35">
        <v>1102</v>
      </c>
      <c r="J17" s="35">
        <v>1094</v>
      </c>
      <c r="K17" s="35">
        <v>1367</v>
      </c>
      <c r="L17" s="35">
        <v>1446</v>
      </c>
      <c r="M17" s="35">
        <v>1427</v>
      </c>
      <c r="N17" s="35">
        <v>1824</v>
      </c>
      <c r="O17" s="35">
        <v>2535</v>
      </c>
      <c r="P17" s="35">
        <v>2683</v>
      </c>
      <c r="Q17" s="35">
        <v>3075</v>
      </c>
      <c r="R17" s="35">
        <v>3926</v>
      </c>
      <c r="S17" s="35">
        <v>3655</v>
      </c>
      <c r="T17" s="35">
        <v>4763</v>
      </c>
      <c r="U17" s="35">
        <v>5095</v>
      </c>
      <c r="V17" s="35">
        <v>5416</v>
      </c>
      <c r="W17" s="35">
        <v>6613</v>
      </c>
      <c r="X17" s="35">
        <v>7924</v>
      </c>
      <c r="Y17" s="35">
        <v>9391</v>
      </c>
      <c r="Z17" s="35">
        <v>10499</v>
      </c>
      <c r="AA17" s="35">
        <v>7106</v>
      </c>
      <c r="AB17" s="35">
        <v>4500</v>
      </c>
      <c r="AC17" s="35">
        <v>1467</v>
      </c>
      <c r="AD17" s="35">
        <v>8652</v>
      </c>
      <c r="AE17" s="35">
        <v>9823</v>
      </c>
      <c r="AF17" s="35">
        <v>7490</v>
      </c>
      <c r="AG17" s="35">
        <v>7639</v>
      </c>
      <c r="AH17" s="35">
        <v>6642</v>
      </c>
      <c r="AI17" s="35">
        <v>5252</v>
      </c>
      <c r="AJ17" s="35">
        <v>4565</v>
      </c>
      <c r="AK17" s="35">
        <v>4632</v>
      </c>
      <c r="AL17" s="35">
        <v>5135</v>
      </c>
      <c r="AM17" s="35">
        <v>5531</v>
      </c>
      <c r="AN17" s="35">
        <v>6387</v>
      </c>
      <c r="AO17" s="35">
        <v>6560</v>
      </c>
      <c r="AP17" s="35">
        <v>7907</v>
      </c>
      <c r="AQ17" s="35">
        <v>8620</v>
      </c>
      <c r="AR17" s="35">
        <v>8369</v>
      </c>
      <c r="AS17" s="35">
        <v>7895</v>
      </c>
      <c r="AT17" s="35">
        <v>7811</v>
      </c>
      <c r="AU17" s="35">
        <v>7982</v>
      </c>
      <c r="AV17" s="35">
        <v>9480</v>
      </c>
      <c r="AW17" s="35">
        <v>6247</v>
      </c>
      <c r="AX17" s="35">
        <v>11363</v>
      </c>
      <c r="AY17" s="35">
        <v>12042</v>
      </c>
      <c r="AZ17" s="35">
        <v>11464</v>
      </c>
      <c r="BA17" s="35">
        <v>9954</v>
      </c>
      <c r="BB17" s="35">
        <v>11381</v>
      </c>
      <c r="BC17" s="35">
        <v>12907</v>
      </c>
      <c r="BD17" s="35">
        <v>11305</v>
      </c>
      <c r="BE17" s="35">
        <v>12240</v>
      </c>
      <c r="BF17" s="35">
        <v>11417</v>
      </c>
      <c r="BG17" s="35">
        <v>11227</v>
      </c>
      <c r="BH17" s="35">
        <v>12080</v>
      </c>
      <c r="BI17" s="33">
        <v>9152</v>
      </c>
      <c r="BJ17" s="33">
        <v>26104</v>
      </c>
      <c r="BK17" s="33">
        <v>29260</v>
      </c>
      <c r="BL17" s="33">
        <v>22517</v>
      </c>
    </row>
    <row r="18" spans="1:64" ht="14.15" customHeight="1" x14ac:dyDescent="0.35">
      <c r="A18" s="31" t="s">
        <v>145</v>
      </c>
      <c r="B18" s="35">
        <v>249</v>
      </c>
      <c r="C18" s="35">
        <v>346</v>
      </c>
      <c r="D18" s="35">
        <v>231</v>
      </c>
      <c r="E18" s="35">
        <v>336</v>
      </c>
      <c r="F18" s="35">
        <v>354</v>
      </c>
      <c r="G18" s="35">
        <v>369</v>
      </c>
      <c r="H18" s="35">
        <v>354</v>
      </c>
      <c r="I18" s="35">
        <v>370</v>
      </c>
      <c r="J18" s="35">
        <v>398</v>
      </c>
      <c r="K18" s="35">
        <v>405</v>
      </c>
      <c r="L18" s="35">
        <v>452</v>
      </c>
      <c r="M18" s="35">
        <v>476</v>
      </c>
      <c r="N18" s="35">
        <v>609</v>
      </c>
      <c r="O18" s="35">
        <v>659</v>
      </c>
      <c r="P18" s="35">
        <v>727</v>
      </c>
      <c r="Q18" s="35">
        <v>982</v>
      </c>
      <c r="R18" s="35">
        <v>1128</v>
      </c>
      <c r="S18" s="35">
        <v>1310</v>
      </c>
      <c r="T18" s="35">
        <v>1366</v>
      </c>
      <c r="U18" s="35">
        <v>1343</v>
      </c>
      <c r="V18" s="35">
        <v>1625</v>
      </c>
      <c r="W18" s="35">
        <v>1761</v>
      </c>
      <c r="X18" s="35">
        <v>1869</v>
      </c>
      <c r="Y18" s="35">
        <v>2038</v>
      </c>
      <c r="Z18" s="35">
        <v>2266</v>
      </c>
      <c r="AA18" s="35">
        <v>2206</v>
      </c>
      <c r="AB18" s="35">
        <v>2726</v>
      </c>
      <c r="AC18" s="35">
        <v>2885</v>
      </c>
      <c r="AD18" s="35">
        <v>3045</v>
      </c>
      <c r="AE18" s="35">
        <v>3279</v>
      </c>
      <c r="AF18" s="35">
        <v>3879</v>
      </c>
      <c r="AG18" s="35">
        <v>4298</v>
      </c>
      <c r="AH18" s="35">
        <v>4544</v>
      </c>
      <c r="AI18" s="35">
        <v>4189</v>
      </c>
      <c r="AJ18" s="35">
        <v>3753</v>
      </c>
      <c r="AK18" s="35">
        <v>3917</v>
      </c>
      <c r="AL18" s="35">
        <v>3259</v>
      </c>
      <c r="AM18" s="35">
        <v>4160</v>
      </c>
      <c r="AN18" s="35">
        <v>4708</v>
      </c>
      <c r="AO18" s="35">
        <v>5048</v>
      </c>
      <c r="AP18" s="35">
        <v>7035</v>
      </c>
      <c r="AQ18" s="35">
        <v>6681</v>
      </c>
      <c r="AR18" s="35">
        <v>7895</v>
      </c>
      <c r="AS18" s="35">
        <v>9148</v>
      </c>
      <c r="AT18" s="35">
        <v>8559</v>
      </c>
      <c r="AU18" s="35">
        <v>8379</v>
      </c>
      <c r="AV18" s="35">
        <v>10388</v>
      </c>
      <c r="AW18" s="35">
        <v>12152</v>
      </c>
      <c r="AX18" s="35">
        <v>13557</v>
      </c>
      <c r="AY18" s="35">
        <v>12486</v>
      </c>
      <c r="AZ18" s="35">
        <v>13548</v>
      </c>
      <c r="BA18" s="35">
        <v>13038</v>
      </c>
      <c r="BB18" s="35">
        <v>12859</v>
      </c>
      <c r="BC18" s="35">
        <v>13246</v>
      </c>
      <c r="BD18" s="35">
        <v>13874</v>
      </c>
      <c r="BE18" s="35">
        <v>12888</v>
      </c>
      <c r="BF18" s="35">
        <v>11958</v>
      </c>
      <c r="BG18" s="35">
        <v>12644</v>
      </c>
      <c r="BH18" s="35">
        <v>16621</v>
      </c>
      <c r="BI18" s="33">
        <v>15270</v>
      </c>
      <c r="BJ18" s="33">
        <v>14400</v>
      </c>
      <c r="BK18" s="33">
        <v>14610</v>
      </c>
      <c r="BL18" s="33">
        <v>15448</v>
      </c>
    </row>
    <row r="19" spans="1:64" ht="14.15" customHeight="1" x14ac:dyDescent="0.35">
      <c r="A19" s="31" t="s">
        <v>146</v>
      </c>
      <c r="B19" s="35">
        <v>197</v>
      </c>
      <c r="C19" s="35">
        <v>201</v>
      </c>
      <c r="D19" s="35">
        <v>207</v>
      </c>
      <c r="E19" s="35">
        <v>224</v>
      </c>
      <c r="F19" s="35">
        <v>228</v>
      </c>
      <c r="G19" s="35">
        <v>245</v>
      </c>
      <c r="H19" s="35">
        <v>253</v>
      </c>
      <c r="I19" s="35">
        <v>237</v>
      </c>
      <c r="J19" s="35">
        <v>235</v>
      </c>
      <c r="K19" s="35">
        <v>241</v>
      </c>
      <c r="L19" s="35">
        <v>274</v>
      </c>
      <c r="M19" s="35">
        <v>295</v>
      </c>
      <c r="N19" s="35">
        <v>320</v>
      </c>
      <c r="O19" s="35">
        <v>348</v>
      </c>
      <c r="P19" s="35">
        <v>382</v>
      </c>
      <c r="Q19" s="35">
        <v>386</v>
      </c>
      <c r="R19" s="35">
        <v>423</v>
      </c>
      <c r="S19" s="35">
        <v>465</v>
      </c>
      <c r="T19" s="35">
        <v>534</v>
      </c>
      <c r="U19" s="35">
        <v>528</v>
      </c>
      <c r="V19" s="35">
        <v>575</v>
      </c>
      <c r="W19" s="35">
        <v>607</v>
      </c>
      <c r="X19" s="35">
        <v>688</v>
      </c>
      <c r="Y19" s="35">
        <v>802</v>
      </c>
      <c r="Z19" s="35">
        <v>915</v>
      </c>
      <c r="AA19" s="35">
        <v>998</v>
      </c>
      <c r="AB19" s="35">
        <v>1049</v>
      </c>
      <c r="AC19" s="35">
        <v>1105</v>
      </c>
      <c r="AD19" s="35">
        <v>1102</v>
      </c>
      <c r="AE19" s="35">
        <v>1252</v>
      </c>
      <c r="AF19" s="35">
        <v>1279</v>
      </c>
      <c r="AG19" s="35">
        <v>1351</v>
      </c>
      <c r="AH19" s="35">
        <v>1397</v>
      </c>
      <c r="AI19" s="35">
        <v>1416</v>
      </c>
      <c r="AJ19" s="35">
        <v>1186</v>
      </c>
      <c r="AK19" s="35">
        <v>1171</v>
      </c>
      <c r="AL19" s="35">
        <v>1158</v>
      </c>
      <c r="AM19" s="35">
        <v>1226</v>
      </c>
      <c r="AN19" s="35">
        <v>817</v>
      </c>
      <c r="AO19" s="35">
        <v>804</v>
      </c>
      <c r="AP19" s="35">
        <v>906</v>
      </c>
      <c r="AQ19" s="35">
        <v>959</v>
      </c>
      <c r="AR19" s="35">
        <v>1140</v>
      </c>
      <c r="AS19" s="35">
        <v>1129</v>
      </c>
      <c r="AT19" s="35">
        <v>1162</v>
      </c>
      <c r="AU19" s="35">
        <v>1220</v>
      </c>
      <c r="AV19" s="35">
        <v>1330</v>
      </c>
      <c r="AW19" s="35">
        <v>1330</v>
      </c>
      <c r="AX19" s="35">
        <v>1485</v>
      </c>
      <c r="AY19" s="35">
        <v>1575</v>
      </c>
      <c r="AZ19" s="35">
        <v>1556</v>
      </c>
      <c r="BA19" s="35">
        <v>1519</v>
      </c>
      <c r="BB19" s="35">
        <v>1464</v>
      </c>
      <c r="BC19" s="35">
        <v>1531</v>
      </c>
      <c r="BD19" s="35">
        <v>1546</v>
      </c>
      <c r="BE19" s="35">
        <v>1595</v>
      </c>
      <c r="BF19" s="35">
        <v>1641</v>
      </c>
      <c r="BG19" s="35">
        <v>1671</v>
      </c>
      <c r="BH19" s="35">
        <v>1621</v>
      </c>
      <c r="BI19" s="33">
        <v>1633</v>
      </c>
      <c r="BJ19" s="33">
        <v>1969</v>
      </c>
      <c r="BK19" s="33">
        <v>2189</v>
      </c>
      <c r="BL19" s="33">
        <v>2070</v>
      </c>
    </row>
    <row r="20" spans="1:64" ht="14.15" customHeight="1" x14ac:dyDescent="0.35">
      <c r="A20" s="31" t="s">
        <v>147</v>
      </c>
      <c r="B20" s="35">
        <v>353</v>
      </c>
      <c r="C20" s="35">
        <v>-503</v>
      </c>
      <c r="D20" s="35">
        <v>-690</v>
      </c>
      <c r="E20" s="35">
        <v>-242</v>
      </c>
      <c r="F20" s="35">
        <v>-69</v>
      </c>
      <c r="G20" s="35">
        <v>338</v>
      </c>
      <c r="H20" s="35">
        <v>765</v>
      </c>
      <c r="I20" s="35">
        <v>407</v>
      </c>
      <c r="J20" s="35">
        <v>261</v>
      </c>
      <c r="K20" s="35">
        <v>-150</v>
      </c>
      <c r="L20" s="35">
        <v>215</v>
      </c>
      <c r="M20" s="35">
        <v>211</v>
      </c>
      <c r="N20" s="35">
        <v>527</v>
      </c>
      <c r="O20" s="35">
        <v>421</v>
      </c>
      <c r="P20" s="35">
        <v>4</v>
      </c>
      <c r="Q20" s="35">
        <v>-913</v>
      </c>
      <c r="R20" s="35">
        <v>-642</v>
      </c>
      <c r="S20" s="35">
        <v>-881</v>
      </c>
      <c r="T20" s="35">
        <v>2425</v>
      </c>
      <c r="U20" s="35">
        <v>2007</v>
      </c>
      <c r="V20" s="35">
        <v>911</v>
      </c>
      <c r="W20" s="35">
        <v>-1089</v>
      </c>
      <c r="X20" s="35">
        <v>910</v>
      </c>
      <c r="Y20" s="35">
        <v>-1471</v>
      </c>
      <c r="Z20" s="35">
        <v>-4501</v>
      </c>
      <c r="AA20" s="35">
        <v>-2985</v>
      </c>
      <c r="AB20" s="35">
        <v>-2513</v>
      </c>
      <c r="AC20" s="35">
        <v>-710</v>
      </c>
      <c r="AD20" s="35">
        <v>-4539</v>
      </c>
      <c r="AE20" s="35">
        <v>-3648</v>
      </c>
      <c r="AF20" s="35">
        <v>-2689</v>
      </c>
      <c r="AG20" s="35">
        <v>-1896</v>
      </c>
      <c r="AH20" s="35">
        <v>-2564</v>
      </c>
      <c r="AI20" s="35">
        <v>-2026</v>
      </c>
      <c r="AJ20" s="35">
        <v>-2177</v>
      </c>
      <c r="AK20" s="35">
        <v>-550</v>
      </c>
      <c r="AL20" s="35">
        <v>-1893</v>
      </c>
      <c r="AM20" s="35">
        <v>-1331</v>
      </c>
      <c r="AN20" s="35">
        <v>-1215</v>
      </c>
      <c r="AO20" s="35">
        <v>-3112</v>
      </c>
      <c r="AP20" s="35">
        <v>-1345</v>
      </c>
      <c r="AQ20" s="35">
        <v>-5385</v>
      </c>
      <c r="AR20" s="35">
        <v>-4341</v>
      </c>
      <c r="AS20" s="35">
        <v>-1303</v>
      </c>
      <c r="AT20" s="35">
        <v>-4726</v>
      </c>
      <c r="AU20" s="35">
        <v>-4623</v>
      </c>
      <c r="AV20" s="35">
        <v>-6415</v>
      </c>
      <c r="AW20" s="35">
        <v>-4295</v>
      </c>
      <c r="AX20" s="35">
        <v>-224</v>
      </c>
      <c r="AY20" s="35">
        <v>-1673</v>
      </c>
      <c r="AZ20" s="35">
        <v>-11648</v>
      </c>
      <c r="BA20" s="35">
        <v>-598</v>
      </c>
      <c r="BB20" s="35">
        <v>-2359</v>
      </c>
      <c r="BC20" s="35">
        <v>269</v>
      </c>
      <c r="BD20" s="35">
        <v>-5548</v>
      </c>
      <c r="BE20" s="35">
        <v>-4957</v>
      </c>
      <c r="BF20" s="35">
        <v>-1243</v>
      </c>
      <c r="BG20" s="35">
        <v>1223</v>
      </c>
      <c r="BH20" s="35">
        <v>9174</v>
      </c>
      <c r="BI20" s="33">
        <v>-12532</v>
      </c>
      <c r="BJ20" s="33">
        <v>-4763</v>
      </c>
      <c r="BK20" s="33">
        <v>-14322</v>
      </c>
      <c r="BL20" s="33">
        <v>-5385</v>
      </c>
    </row>
    <row r="21" spans="1:64" ht="14.15" customHeight="1" x14ac:dyDescent="0.35">
      <c r="A21" s="31" t="s">
        <v>148</v>
      </c>
      <c r="B21" s="36">
        <v>5639</v>
      </c>
      <c r="C21" s="36">
        <v>5308</v>
      </c>
      <c r="D21" s="36">
        <v>4945</v>
      </c>
      <c r="E21" s="36">
        <v>5273</v>
      </c>
      <c r="F21" s="36">
        <v>5580</v>
      </c>
      <c r="G21" s="36">
        <v>5566</v>
      </c>
      <c r="H21" s="36">
        <v>5301</v>
      </c>
      <c r="I21" s="36">
        <v>4600</v>
      </c>
      <c r="J21" s="36">
        <v>4330</v>
      </c>
      <c r="K21" s="36">
        <v>4159</v>
      </c>
      <c r="L21" s="36">
        <v>4781</v>
      </c>
      <c r="M21" s="36">
        <v>4149</v>
      </c>
      <c r="N21" s="36">
        <v>5710</v>
      </c>
      <c r="O21" s="36">
        <v>7097</v>
      </c>
      <c r="P21" s="36">
        <v>6433</v>
      </c>
      <c r="Q21" s="36">
        <v>6353</v>
      </c>
      <c r="R21" s="36">
        <v>7482</v>
      </c>
      <c r="S21" s="36">
        <v>7459</v>
      </c>
      <c r="T21" s="36">
        <v>12714</v>
      </c>
      <c r="U21" s="36">
        <v>13104</v>
      </c>
      <c r="V21" s="36">
        <v>12300</v>
      </c>
      <c r="W21" s="36">
        <v>11848</v>
      </c>
      <c r="X21" s="36">
        <v>15869</v>
      </c>
      <c r="Y21" s="36">
        <v>16169</v>
      </c>
      <c r="Z21" s="36">
        <v>14146</v>
      </c>
      <c r="AA21" s="36">
        <v>11645</v>
      </c>
      <c r="AB21" s="36">
        <v>10466</v>
      </c>
      <c r="AC21" s="36">
        <v>9583</v>
      </c>
      <c r="AD21" s="36">
        <v>13758</v>
      </c>
      <c r="AE21" s="36">
        <v>15846</v>
      </c>
      <c r="AF21" s="36">
        <v>16090</v>
      </c>
      <c r="AG21" s="36">
        <v>17218</v>
      </c>
      <c r="AH21" s="36">
        <v>17067</v>
      </c>
      <c r="AI21" s="36">
        <v>16429</v>
      </c>
      <c r="AJ21" s="36">
        <v>13487</v>
      </c>
      <c r="AK21" s="36">
        <v>15173</v>
      </c>
      <c r="AL21" s="36">
        <v>13054</v>
      </c>
      <c r="AM21" s="36">
        <v>15239</v>
      </c>
      <c r="AN21" s="36">
        <v>17213</v>
      </c>
      <c r="AO21" s="36">
        <v>16485</v>
      </c>
      <c r="AP21" s="36">
        <v>22315</v>
      </c>
      <c r="AQ21" s="36">
        <v>21199</v>
      </c>
      <c r="AR21" s="36">
        <v>26870</v>
      </c>
      <c r="AS21" s="36">
        <v>34565</v>
      </c>
      <c r="AT21" s="36">
        <v>29499</v>
      </c>
      <c r="AU21" s="36">
        <v>28482</v>
      </c>
      <c r="AV21" s="36">
        <v>28857</v>
      </c>
      <c r="AW21" s="36">
        <v>37529</v>
      </c>
      <c r="AX21" s="36">
        <v>45195</v>
      </c>
      <c r="AY21" s="36">
        <v>45685</v>
      </c>
      <c r="AZ21" s="36">
        <v>36802</v>
      </c>
      <c r="BA21" s="36">
        <v>46464</v>
      </c>
      <c r="BB21" s="36">
        <v>46879</v>
      </c>
      <c r="BC21" s="36">
        <v>52040</v>
      </c>
      <c r="BD21" s="36">
        <v>45306</v>
      </c>
      <c r="BE21" s="36">
        <v>46308</v>
      </c>
      <c r="BF21" s="36">
        <v>48875</v>
      </c>
      <c r="BG21" s="36">
        <v>53035</v>
      </c>
      <c r="BH21" s="36">
        <v>67722</v>
      </c>
      <c r="BI21" s="34">
        <v>46951</v>
      </c>
      <c r="BJ21" s="34">
        <v>71873</v>
      </c>
      <c r="BK21" s="34">
        <v>69313</v>
      </c>
      <c r="BL21" s="34">
        <v>72000</v>
      </c>
    </row>
    <row r="22" spans="1:64" ht="14.15" customHeight="1" x14ac:dyDescent="0.35">
      <c r="A22" s="28" t="s">
        <v>149</v>
      </c>
      <c r="B22" s="29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J22" s="22"/>
      <c r="BK22" s="22"/>
      <c r="BL22" s="22"/>
    </row>
    <row r="23" spans="1:64" ht="14.15" customHeight="1" x14ac:dyDescent="0.35">
      <c r="A23" s="31" t="s">
        <v>150</v>
      </c>
      <c r="B23" s="35">
        <v>497</v>
      </c>
      <c r="C23" s="35">
        <v>534</v>
      </c>
      <c r="D23" s="35">
        <v>766</v>
      </c>
      <c r="E23" s="35">
        <v>789</v>
      </c>
      <c r="F23" s="35">
        <v>858</v>
      </c>
      <c r="G23" s="35">
        <v>897</v>
      </c>
      <c r="H23" s="35">
        <v>930</v>
      </c>
      <c r="I23" s="35">
        <v>938</v>
      </c>
      <c r="J23" s="35">
        <v>947</v>
      </c>
      <c r="K23" s="35">
        <v>1009</v>
      </c>
      <c r="L23" s="35">
        <v>979</v>
      </c>
      <c r="M23" s="35">
        <v>961</v>
      </c>
      <c r="N23" s="35">
        <v>1017</v>
      </c>
      <c r="O23" s="35">
        <v>1038</v>
      </c>
      <c r="P23" s="35">
        <v>1034</v>
      </c>
      <c r="Q23" s="35">
        <v>1078</v>
      </c>
      <c r="R23" s="35">
        <v>1160</v>
      </c>
      <c r="S23" s="35">
        <v>1297</v>
      </c>
      <c r="T23" s="35">
        <v>1381</v>
      </c>
      <c r="U23" s="35">
        <v>1476</v>
      </c>
      <c r="V23" s="35">
        <v>1606</v>
      </c>
      <c r="W23" s="35">
        <v>1644</v>
      </c>
      <c r="X23" s="35">
        <v>1842</v>
      </c>
      <c r="Y23" s="35">
        <v>2015</v>
      </c>
      <c r="Z23" s="35">
        <v>2207</v>
      </c>
      <c r="AA23" s="35">
        <v>2243</v>
      </c>
      <c r="AB23" s="35">
        <v>2407</v>
      </c>
      <c r="AC23" s="35">
        <v>2626</v>
      </c>
      <c r="AD23" s="35">
        <v>2818</v>
      </c>
      <c r="AE23" s="35">
        <v>3136</v>
      </c>
      <c r="AF23" s="35">
        <v>3551</v>
      </c>
      <c r="AG23" s="35">
        <v>3914</v>
      </c>
      <c r="AH23" s="35">
        <v>3825</v>
      </c>
      <c r="AI23" s="35">
        <v>4099</v>
      </c>
      <c r="AJ23" s="35">
        <v>3991</v>
      </c>
      <c r="AK23" s="35">
        <v>4080</v>
      </c>
      <c r="AL23" s="35">
        <v>5306</v>
      </c>
      <c r="AM23" s="35">
        <v>5638</v>
      </c>
      <c r="AN23" s="35">
        <v>6167</v>
      </c>
      <c r="AO23" s="35">
        <v>6520</v>
      </c>
      <c r="AP23" s="35">
        <v>7261</v>
      </c>
      <c r="AQ23" s="35">
        <v>7951</v>
      </c>
      <c r="AR23" s="35">
        <v>8392</v>
      </c>
      <c r="AS23" s="35">
        <v>8819</v>
      </c>
      <c r="AT23" s="35">
        <v>9093</v>
      </c>
      <c r="AU23" s="35">
        <v>9149</v>
      </c>
      <c r="AV23" s="35">
        <v>9573</v>
      </c>
      <c r="AW23" s="35">
        <v>10020</v>
      </c>
      <c r="AX23" s="35">
        <v>11730</v>
      </c>
      <c r="AY23" s="35">
        <v>12434</v>
      </c>
      <c r="AZ23" s="35">
        <v>12458</v>
      </c>
      <c r="BA23" s="35">
        <v>12479</v>
      </c>
      <c r="BB23" s="35">
        <v>12011</v>
      </c>
      <c r="BC23" s="35">
        <v>11719</v>
      </c>
      <c r="BD23" s="35">
        <v>11950</v>
      </c>
      <c r="BE23" s="35">
        <v>12324</v>
      </c>
      <c r="BF23" s="35">
        <v>12428</v>
      </c>
      <c r="BG23" s="35">
        <v>12943</v>
      </c>
      <c r="BH23" s="35">
        <v>13301</v>
      </c>
      <c r="BI23" s="33">
        <v>14045</v>
      </c>
      <c r="BJ23" s="33">
        <v>15205</v>
      </c>
      <c r="BK23" s="33">
        <v>16811</v>
      </c>
      <c r="BL23" s="33">
        <v>17406</v>
      </c>
    </row>
    <row r="24" spans="1:64" ht="14.15" customHeight="1" x14ac:dyDescent="0.35">
      <c r="A24" s="31" t="s">
        <v>151</v>
      </c>
      <c r="B24" s="35">
        <v>1226</v>
      </c>
      <c r="C24" s="35">
        <v>2516</v>
      </c>
      <c r="D24" s="35">
        <v>4131</v>
      </c>
      <c r="E24" s="35">
        <v>5034</v>
      </c>
      <c r="F24" s="35">
        <v>5858</v>
      </c>
      <c r="G24" s="35">
        <v>5336</v>
      </c>
      <c r="H24" s="35">
        <v>4594</v>
      </c>
      <c r="I24" s="35">
        <v>4082</v>
      </c>
      <c r="J24" s="35">
        <v>3564</v>
      </c>
      <c r="K24" s="35">
        <v>3172</v>
      </c>
      <c r="L24" s="35">
        <v>3196</v>
      </c>
      <c r="M24" s="35">
        <v>3071</v>
      </c>
      <c r="N24" s="35">
        <v>2963</v>
      </c>
      <c r="O24" s="35">
        <v>2953</v>
      </c>
      <c r="P24" s="35">
        <v>3338</v>
      </c>
      <c r="Q24" s="35">
        <v>3657</v>
      </c>
      <c r="R24" s="35">
        <v>3766</v>
      </c>
      <c r="S24" s="35">
        <v>3937</v>
      </c>
      <c r="T24" s="35">
        <v>4451</v>
      </c>
      <c r="U24" s="35">
        <v>4992</v>
      </c>
      <c r="V24" s="35">
        <v>5593</v>
      </c>
      <c r="W24" s="35">
        <v>6290</v>
      </c>
      <c r="X24" s="35">
        <v>6469</v>
      </c>
      <c r="Y24" s="35">
        <v>6607</v>
      </c>
      <c r="Z24" s="35">
        <v>6756</v>
      </c>
      <c r="AA24" s="35">
        <v>6957</v>
      </c>
      <c r="AB24" s="35">
        <v>8413</v>
      </c>
      <c r="AC24" s="35">
        <v>10196</v>
      </c>
      <c r="AD24" s="35">
        <v>11609</v>
      </c>
      <c r="AE24" s="35">
        <v>12957</v>
      </c>
      <c r="AF24" s="35">
        <v>12838</v>
      </c>
      <c r="AG24" s="35">
        <v>13092</v>
      </c>
      <c r="AH24" s="35">
        <v>12363</v>
      </c>
      <c r="AI24" s="35">
        <v>12593</v>
      </c>
      <c r="AJ24" s="35">
        <v>12693</v>
      </c>
      <c r="AK24" s="35">
        <v>13056</v>
      </c>
      <c r="AL24" s="35">
        <v>12866</v>
      </c>
      <c r="AM24" s="35">
        <v>12446</v>
      </c>
      <c r="AN24" s="35">
        <v>12427</v>
      </c>
      <c r="AO24" s="35">
        <v>13233</v>
      </c>
      <c r="AP24" s="35">
        <v>13473</v>
      </c>
      <c r="AQ24" s="35">
        <v>12880</v>
      </c>
      <c r="AR24" s="35">
        <v>14637</v>
      </c>
      <c r="AS24" s="35">
        <v>14778</v>
      </c>
      <c r="AT24" s="35">
        <v>14491</v>
      </c>
      <c r="AU24" s="35">
        <v>15258</v>
      </c>
      <c r="AV24" s="35">
        <v>17200</v>
      </c>
      <c r="AW24" s="35">
        <v>18397</v>
      </c>
      <c r="AX24" s="35">
        <v>18370</v>
      </c>
      <c r="AY24" s="35">
        <v>17032</v>
      </c>
      <c r="AZ24" s="35">
        <v>16602</v>
      </c>
      <c r="BA24" s="35">
        <v>16429</v>
      </c>
      <c r="BB24" s="35">
        <v>16559</v>
      </c>
      <c r="BC24" s="35">
        <v>17693</v>
      </c>
      <c r="BD24" s="35">
        <v>18224</v>
      </c>
      <c r="BE24" s="35">
        <v>18074</v>
      </c>
      <c r="BF24" s="35">
        <v>19108</v>
      </c>
      <c r="BG24" s="35">
        <v>19471</v>
      </c>
      <c r="BH24" s="35">
        <v>20721</v>
      </c>
      <c r="BI24" s="33">
        <v>21489</v>
      </c>
      <c r="BJ24" s="33">
        <v>22199</v>
      </c>
      <c r="BK24" s="33">
        <v>24465</v>
      </c>
      <c r="BL24" s="33">
        <v>24070</v>
      </c>
    </row>
    <row r="25" spans="1:64" ht="14.15" customHeight="1" x14ac:dyDescent="0.35">
      <c r="A25" s="31" t="s">
        <v>152</v>
      </c>
      <c r="B25" s="36">
        <v>1723</v>
      </c>
      <c r="C25" s="36">
        <v>3051</v>
      </c>
      <c r="D25" s="36">
        <v>4897</v>
      </c>
      <c r="E25" s="36">
        <v>5823</v>
      </c>
      <c r="F25" s="36">
        <v>6717</v>
      </c>
      <c r="G25" s="36">
        <v>6233</v>
      </c>
      <c r="H25" s="36">
        <v>5524</v>
      </c>
      <c r="I25" s="36">
        <v>5020</v>
      </c>
      <c r="J25" s="36">
        <v>4511</v>
      </c>
      <c r="K25" s="36">
        <v>4182</v>
      </c>
      <c r="L25" s="36">
        <v>4175</v>
      </c>
      <c r="M25" s="36">
        <v>4032</v>
      </c>
      <c r="N25" s="36">
        <v>3980</v>
      </c>
      <c r="O25" s="36">
        <v>3991</v>
      </c>
      <c r="P25" s="36">
        <v>4373</v>
      </c>
      <c r="Q25" s="36">
        <v>4736</v>
      </c>
      <c r="R25" s="36">
        <v>4926</v>
      </c>
      <c r="S25" s="36">
        <v>5234</v>
      </c>
      <c r="T25" s="36">
        <v>5831</v>
      </c>
      <c r="U25" s="36">
        <v>6468</v>
      </c>
      <c r="V25" s="36">
        <v>7199</v>
      </c>
      <c r="W25" s="36">
        <v>7934</v>
      </c>
      <c r="X25" s="36">
        <v>8311</v>
      </c>
      <c r="Y25" s="36">
        <v>8622</v>
      </c>
      <c r="Z25" s="36">
        <v>8962</v>
      </c>
      <c r="AA25" s="36">
        <v>9200</v>
      </c>
      <c r="AB25" s="36">
        <v>10820</v>
      </c>
      <c r="AC25" s="36">
        <v>12821</v>
      </c>
      <c r="AD25" s="36">
        <v>14426</v>
      </c>
      <c r="AE25" s="36">
        <v>16092</v>
      </c>
      <c r="AF25" s="36">
        <v>16389</v>
      </c>
      <c r="AG25" s="36">
        <v>17006</v>
      </c>
      <c r="AH25" s="36">
        <v>16189</v>
      </c>
      <c r="AI25" s="36">
        <v>16692</v>
      </c>
      <c r="AJ25" s="36">
        <v>16684</v>
      </c>
      <c r="AK25" s="36">
        <v>17136</v>
      </c>
      <c r="AL25" s="36">
        <v>18172</v>
      </c>
      <c r="AM25" s="36">
        <v>18084</v>
      </c>
      <c r="AN25" s="36">
        <v>18594</v>
      </c>
      <c r="AO25" s="36">
        <v>19753</v>
      </c>
      <c r="AP25" s="36">
        <v>20734</v>
      </c>
      <c r="AQ25" s="36">
        <v>20831</v>
      </c>
      <c r="AR25" s="36">
        <v>23029</v>
      </c>
      <c r="AS25" s="36">
        <v>23597</v>
      </c>
      <c r="AT25" s="36">
        <v>23584</v>
      </c>
      <c r="AU25" s="36">
        <v>24407</v>
      </c>
      <c r="AV25" s="36">
        <v>26773</v>
      </c>
      <c r="AW25" s="36">
        <v>28417</v>
      </c>
      <c r="AX25" s="36">
        <v>30100</v>
      </c>
      <c r="AY25" s="36">
        <v>29466</v>
      </c>
      <c r="AZ25" s="36">
        <v>29060</v>
      </c>
      <c r="BA25" s="36">
        <v>28908</v>
      </c>
      <c r="BB25" s="36">
        <v>28570</v>
      </c>
      <c r="BC25" s="36">
        <v>29412</v>
      </c>
      <c r="BD25" s="36">
        <v>30174</v>
      </c>
      <c r="BE25" s="36">
        <v>30398</v>
      </c>
      <c r="BF25" s="36">
        <v>31536</v>
      </c>
      <c r="BG25" s="36">
        <v>32414</v>
      </c>
      <c r="BH25" s="36">
        <v>34022</v>
      </c>
      <c r="BI25" s="34">
        <v>35534</v>
      </c>
      <c r="BJ25" s="34">
        <v>37404</v>
      </c>
      <c r="BK25" s="34">
        <v>41276</v>
      </c>
      <c r="BL25" s="34">
        <v>41476</v>
      </c>
    </row>
    <row r="26" spans="1:64" ht="14.15" customHeight="1" x14ac:dyDescent="0.35">
      <c r="A26" s="28" t="s">
        <v>153</v>
      </c>
      <c r="B26" s="29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J26" s="22"/>
      <c r="BK26" s="22"/>
      <c r="BL26" s="22"/>
    </row>
    <row r="27" spans="1:64" ht="14.15" customHeight="1" x14ac:dyDescent="0.35">
      <c r="A27" s="31" t="s">
        <v>154</v>
      </c>
      <c r="B27" s="35">
        <v>533</v>
      </c>
      <c r="C27" s="35">
        <v>451</v>
      </c>
      <c r="D27" s="35">
        <v>485</v>
      </c>
      <c r="E27" s="35">
        <v>602</v>
      </c>
      <c r="F27" s="35">
        <v>510</v>
      </c>
      <c r="G27" s="35">
        <v>673</v>
      </c>
      <c r="H27" s="35">
        <v>918</v>
      </c>
      <c r="I27" s="35">
        <v>887</v>
      </c>
      <c r="J27" s="35">
        <v>856</v>
      </c>
      <c r="K27" s="35">
        <v>880</v>
      </c>
      <c r="L27" s="35">
        <v>1089</v>
      </c>
      <c r="M27" s="35">
        <v>1007</v>
      </c>
      <c r="N27" s="35">
        <v>969</v>
      </c>
      <c r="O27" s="35">
        <v>2446</v>
      </c>
      <c r="P27" s="35">
        <v>3530</v>
      </c>
      <c r="Q27" s="35">
        <v>4841</v>
      </c>
      <c r="R27" s="35">
        <v>6075</v>
      </c>
      <c r="S27" s="35">
        <v>7165</v>
      </c>
      <c r="T27" s="35">
        <v>8367</v>
      </c>
      <c r="U27" s="35">
        <v>10202</v>
      </c>
      <c r="V27" s="35">
        <v>8263</v>
      </c>
      <c r="W27" s="35">
        <v>6143</v>
      </c>
      <c r="X27" s="35">
        <v>3255</v>
      </c>
      <c r="Y27" s="35">
        <v>2615</v>
      </c>
      <c r="Z27" s="35">
        <v>2839</v>
      </c>
      <c r="AA27" s="35">
        <v>2318</v>
      </c>
      <c r="AB27" s="35">
        <v>746</v>
      </c>
      <c r="AC27" s="35">
        <v>1230</v>
      </c>
      <c r="AD27" s="35">
        <v>1976</v>
      </c>
      <c r="AE27" s="35">
        <v>1945</v>
      </c>
      <c r="AF27" s="35">
        <v>3226</v>
      </c>
      <c r="AG27" s="35">
        <v>3286</v>
      </c>
      <c r="AH27" s="35">
        <v>3899</v>
      </c>
      <c r="AI27" s="35">
        <v>3584</v>
      </c>
      <c r="AJ27" s="35">
        <v>1649</v>
      </c>
      <c r="AK27" s="35">
        <v>626</v>
      </c>
      <c r="AL27" s="35">
        <v>181</v>
      </c>
      <c r="AM27" s="35">
        <v>-118</v>
      </c>
      <c r="AN27" s="35">
        <v>-1818</v>
      </c>
      <c r="AO27" s="35">
        <v>-1145</v>
      </c>
      <c r="AP27" s="35">
        <v>-803</v>
      </c>
      <c r="AQ27" s="35">
        <v>-2051</v>
      </c>
      <c r="AR27" s="35">
        <v>-1536</v>
      </c>
      <c r="AS27" s="35">
        <v>-929</v>
      </c>
      <c r="AT27" s="35">
        <v>234</v>
      </c>
      <c r="AU27" s="35">
        <v>-1983</v>
      </c>
      <c r="AV27" s="35">
        <v>-413</v>
      </c>
      <c r="AW27" s="35">
        <v>2051</v>
      </c>
      <c r="AX27" s="35">
        <v>5801</v>
      </c>
      <c r="AY27" s="35">
        <v>8084</v>
      </c>
      <c r="AZ27" s="35">
        <v>9017</v>
      </c>
      <c r="BA27" s="35">
        <v>9038</v>
      </c>
      <c r="BB27" s="35">
        <v>4056</v>
      </c>
      <c r="BC27" s="35">
        <v>4710</v>
      </c>
      <c r="BD27" s="35">
        <v>2021</v>
      </c>
      <c r="BE27" s="35">
        <v>2827</v>
      </c>
      <c r="BF27" s="35">
        <v>1444</v>
      </c>
      <c r="BG27" s="35">
        <v>4110</v>
      </c>
      <c r="BH27" s="35">
        <v>5498</v>
      </c>
      <c r="BI27" s="33">
        <v>4779</v>
      </c>
      <c r="BJ27" s="33">
        <v>4063</v>
      </c>
      <c r="BK27" s="33">
        <v>4609</v>
      </c>
      <c r="BL27" s="33">
        <v>8253</v>
      </c>
    </row>
    <row r="28" spans="1:64" ht="14.15" customHeight="1" x14ac:dyDescent="0.35">
      <c r="A28" s="31" t="s">
        <v>155</v>
      </c>
      <c r="B28" s="35" t="s">
        <v>156</v>
      </c>
      <c r="C28" s="35" t="s">
        <v>156</v>
      </c>
      <c r="D28" s="35" t="s">
        <v>156</v>
      </c>
      <c r="E28" s="35" t="s">
        <v>156</v>
      </c>
      <c r="F28" s="35" t="s">
        <v>156</v>
      </c>
      <c r="G28" s="35" t="s">
        <v>156</v>
      </c>
      <c r="H28" s="35" t="s">
        <v>156</v>
      </c>
      <c r="I28" s="35" t="s">
        <v>156</v>
      </c>
      <c r="J28" s="35" t="s">
        <v>156</v>
      </c>
      <c r="K28" s="35" t="s">
        <v>156</v>
      </c>
      <c r="L28" s="35" t="s">
        <v>156</v>
      </c>
      <c r="M28" s="35" t="s">
        <v>156</v>
      </c>
      <c r="N28" s="35">
        <v>3</v>
      </c>
      <c r="O28" s="35">
        <v>48</v>
      </c>
      <c r="P28" s="35">
        <v>51</v>
      </c>
      <c r="Q28" s="35">
        <v>143</v>
      </c>
      <c r="R28" s="35">
        <v>221</v>
      </c>
      <c r="S28" s="35">
        <v>252</v>
      </c>
      <c r="T28" s="35">
        <v>569</v>
      </c>
      <c r="U28" s="35">
        <v>730</v>
      </c>
      <c r="V28" s="35">
        <v>516</v>
      </c>
      <c r="W28" s="35">
        <v>477</v>
      </c>
      <c r="X28" s="35">
        <v>527</v>
      </c>
      <c r="Y28" s="35">
        <v>491</v>
      </c>
      <c r="Z28" s="35">
        <v>515</v>
      </c>
      <c r="AA28" s="35">
        <v>281</v>
      </c>
      <c r="AB28" s="35">
        <v>342</v>
      </c>
      <c r="AC28" s="35">
        <v>333</v>
      </c>
      <c r="AD28" s="35">
        <v>365</v>
      </c>
      <c r="AE28" s="35">
        <v>386</v>
      </c>
      <c r="AF28" s="35">
        <v>468</v>
      </c>
      <c r="AG28" s="35">
        <v>521</v>
      </c>
      <c r="AH28" s="35">
        <v>582</v>
      </c>
      <c r="AI28" s="35">
        <v>671</v>
      </c>
      <c r="AJ28" s="35">
        <v>624</v>
      </c>
      <c r="AK28" s="35">
        <v>572</v>
      </c>
      <c r="AL28" s="35">
        <v>621</v>
      </c>
      <c r="AM28" s="35">
        <v>586</v>
      </c>
      <c r="AN28" s="35">
        <v>666</v>
      </c>
      <c r="AO28" s="35">
        <v>760</v>
      </c>
      <c r="AP28" s="35">
        <v>878</v>
      </c>
      <c r="AQ28" s="35">
        <v>897</v>
      </c>
      <c r="AR28" s="35">
        <v>926</v>
      </c>
      <c r="AS28" s="35">
        <v>883</v>
      </c>
      <c r="AT28" s="35">
        <v>747</v>
      </c>
      <c r="AU28" s="35">
        <v>580</v>
      </c>
      <c r="AV28" s="35">
        <v>409</v>
      </c>
      <c r="AW28" s="35">
        <v>1432</v>
      </c>
      <c r="AX28" s="35">
        <v>4997</v>
      </c>
      <c r="AY28" s="35">
        <v>6736</v>
      </c>
      <c r="AZ28" s="35">
        <v>4941</v>
      </c>
      <c r="BA28" s="35">
        <v>1240</v>
      </c>
      <c r="BB28" s="35">
        <v>910</v>
      </c>
      <c r="BC28" s="35">
        <v>1187</v>
      </c>
      <c r="BD28" s="35">
        <v>967</v>
      </c>
      <c r="BE28" s="35">
        <v>1048</v>
      </c>
      <c r="BF28" s="35">
        <v>1094</v>
      </c>
      <c r="BG28" s="35">
        <v>1086</v>
      </c>
      <c r="BH28" s="35">
        <v>1241</v>
      </c>
      <c r="BI28" s="33">
        <v>1352</v>
      </c>
      <c r="BJ28" s="33">
        <v>32</v>
      </c>
      <c r="BK28" s="33">
        <v>1614</v>
      </c>
      <c r="BL28" s="33">
        <v>2086</v>
      </c>
    </row>
    <row r="29" spans="1:64" ht="14.15" customHeight="1" x14ac:dyDescent="0.35">
      <c r="A29" s="31" t="s">
        <v>157</v>
      </c>
      <c r="B29" s="35" t="s">
        <v>156</v>
      </c>
      <c r="C29" s="35" t="s">
        <v>156</v>
      </c>
      <c r="D29" s="35" t="s">
        <v>156</v>
      </c>
      <c r="E29" s="35" t="s">
        <v>156</v>
      </c>
      <c r="F29" s="35" t="s">
        <v>156</v>
      </c>
      <c r="G29" s="35" t="s">
        <v>156</v>
      </c>
      <c r="H29" s="35" t="s">
        <v>156</v>
      </c>
      <c r="I29" s="35" t="s">
        <v>156</v>
      </c>
      <c r="J29" s="35" t="s">
        <v>156</v>
      </c>
      <c r="K29" s="35" t="s">
        <v>156</v>
      </c>
      <c r="L29" s="35" t="s">
        <v>156</v>
      </c>
      <c r="M29" s="35" t="s">
        <v>156</v>
      </c>
      <c r="N29" s="35" t="s">
        <v>156</v>
      </c>
      <c r="O29" s="35">
        <v>33</v>
      </c>
      <c r="P29" s="35">
        <v>65</v>
      </c>
      <c r="Q29" s="35">
        <v>123</v>
      </c>
      <c r="R29" s="35">
        <v>897</v>
      </c>
      <c r="S29" s="35">
        <v>1021</v>
      </c>
      <c r="T29" s="35">
        <v>342</v>
      </c>
      <c r="U29" s="35">
        <v>3280</v>
      </c>
      <c r="V29" s="35">
        <v>3877</v>
      </c>
      <c r="W29" s="35">
        <v>1855</v>
      </c>
      <c r="X29" s="35">
        <v>2518</v>
      </c>
      <c r="Y29" s="35">
        <v>1838</v>
      </c>
      <c r="Z29" s="35">
        <v>597</v>
      </c>
      <c r="AA29" s="35">
        <v>788</v>
      </c>
      <c r="AB29" s="35">
        <v>568</v>
      </c>
      <c r="AC29" s="35">
        <v>621</v>
      </c>
      <c r="AD29" s="35">
        <v>442</v>
      </c>
      <c r="AE29" s="35">
        <v>-235</v>
      </c>
      <c r="AF29" s="35">
        <v>319</v>
      </c>
      <c r="AG29" s="35">
        <v>336</v>
      </c>
      <c r="AH29" s="35">
        <v>275</v>
      </c>
      <c r="AI29" s="35">
        <v>223</v>
      </c>
      <c r="AJ29" s="35">
        <v>141</v>
      </c>
      <c r="AK29" s="35">
        <v>23</v>
      </c>
      <c r="AL29" s="35">
        <v>233</v>
      </c>
      <c r="AM29" s="35">
        <v>225</v>
      </c>
      <c r="AN29" s="35">
        <v>162</v>
      </c>
      <c r="AO29" s="35">
        <v>159</v>
      </c>
      <c r="AP29" s="35">
        <v>169</v>
      </c>
      <c r="AQ29" s="35">
        <v>182</v>
      </c>
      <c r="AR29" s="35">
        <v>158</v>
      </c>
      <c r="AS29" s="35">
        <v>162</v>
      </c>
      <c r="AT29" s="35">
        <v>-441</v>
      </c>
      <c r="AU29" s="35">
        <v>195</v>
      </c>
      <c r="AV29" s="35">
        <v>179</v>
      </c>
      <c r="AW29" s="35">
        <v>754</v>
      </c>
      <c r="AX29" s="35">
        <v>199</v>
      </c>
      <c r="AY29" s="35">
        <v>-3263</v>
      </c>
      <c r="AZ29" s="35">
        <v>375</v>
      </c>
      <c r="BA29" s="35">
        <v>217</v>
      </c>
      <c r="BB29" s="35">
        <v>-140</v>
      </c>
      <c r="BC29" s="35">
        <v>449</v>
      </c>
      <c r="BD29" s="35">
        <v>234</v>
      </c>
      <c r="BE29" s="35">
        <v>-536</v>
      </c>
      <c r="BF29" s="35">
        <v>-878</v>
      </c>
      <c r="BG29" s="35">
        <v>-743</v>
      </c>
      <c r="BH29" s="35">
        <v>-246</v>
      </c>
      <c r="BI29" s="33">
        <v>-750</v>
      </c>
      <c r="BJ29" s="33">
        <v>-13844</v>
      </c>
      <c r="BK29" s="33">
        <v>-7264</v>
      </c>
      <c r="BL29" s="33">
        <v>2415</v>
      </c>
    </row>
    <row r="30" spans="1:64" ht="14.15" customHeight="1" x14ac:dyDescent="0.35">
      <c r="A30" s="31" t="s">
        <v>158</v>
      </c>
      <c r="B30" s="35">
        <v>71</v>
      </c>
      <c r="C30" s="35">
        <v>80</v>
      </c>
      <c r="D30" s="35">
        <v>87</v>
      </c>
      <c r="E30" s="35">
        <v>97</v>
      </c>
      <c r="F30" s="35">
        <v>101</v>
      </c>
      <c r="G30" s="35">
        <v>109</v>
      </c>
      <c r="H30" s="35">
        <v>118</v>
      </c>
      <c r="I30" s="35">
        <v>122</v>
      </c>
      <c r="J30" s="35">
        <v>142</v>
      </c>
      <c r="K30" s="35">
        <v>155</v>
      </c>
      <c r="L30" s="35">
        <v>207</v>
      </c>
      <c r="M30" s="35">
        <v>231</v>
      </c>
      <c r="N30" s="35">
        <v>331</v>
      </c>
      <c r="O30" s="35">
        <v>389</v>
      </c>
      <c r="P30" s="35">
        <v>558</v>
      </c>
      <c r="Q30" s="35">
        <v>664</v>
      </c>
      <c r="R30" s="35">
        <v>798</v>
      </c>
      <c r="S30" s="35">
        <v>742</v>
      </c>
      <c r="T30" s="35">
        <v>877</v>
      </c>
      <c r="U30" s="35">
        <v>954</v>
      </c>
      <c r="V30" s="35">
        <v>871</v>
      </c>
      <c r="W30" s="35">
        <v>878</v>
      </c>
      <c r="X30" s="35">
        <v>773</v>
      </c>
      <c r="Y30" s="35">
        <v>664</v>
      </c>
      <c r="Z30" s="35">
        <v>739</v>
      </c>
      <c r="AA30" s="35">
        <v>684</v>
      </c>
      <c r="AB30" s="35">
        <v>640</v>
      </c>
      <c r="AC30" s="35">
        <v>521</v>
      </c>
      <c r="AD30" s="35">
        <v>558</v>
      </c>
      <c r="AE30" s="35">
        <v>340</v>
      </c>
      <c r="AF30" s="35">
        <v>486</v>
      </c>
      <c r="AG30" s="35">
        <v>176</v>
      </c>
      <c r="AH30" s="35">
        <v>462</v>
      </c>
      <c r="AI30" s="35">
        <v>458</v>
      </c>
      <c r="AJ30" s="35">
        <v>425</v>
      </c>
      <c r="AK30" s="35">
        <v>254</v>
      </c>
      <c r="AL30" s="35">
        <v>235</v>
      </c>
      <c r="AM30" s="35">
        <v>218</v>
      </c>
      <c r="AN30" s="35">
        <v>229</v>
      </c>
      <c r="AO30" s="35">
        <v>235</v>
      </c>
      <c r="AP30" s="35">
        <v>231</v>
      </c>
      <c r="AQ30" s="35">
        <v>247</v>
      </c>
      <c r="AR30" s="35">
        <v>305</v>
      </c>
      <c r="AS30" s="35">
        <v>324</v>
      </c>
      <c r="AT30" s="35">
        <v>245</v>
      </c>
      <c r="AU30" s="35">
        <v>356</v>
      </c>
      <c r="AV30" s="35">
        <v>456</v>
      </c>
      <c r="AW30" s="35">
        <v>518</v>
      </c>
      <c r="AX30" s="35">
        <v>621</v>
      </c>
      <c r="AY30" s="35">
        <v>617</v>
      </c>
      <c r="AZ30" s="35">
        <v>525</v>
      </c>
      <c r="BA30" s="35">
        <v>547</v>
      </c>
      <c r="BB30" s="35">
        <v>444</v>
      </c>
      <c r="BC30" s="35">
        <v>495</v>
      </c>
      <c r="BD30" s="35">
        <v>499</v>
      </c>
      <c r="BE30" s="35">
        <v>517</v>
      </c>
      <c r="BF30" s="35">
        <v>509</v>
      </c>
      <c r="BG30" s="35">
        <v>588</v>
      </c>
      <c r="BH30" s="35">
        <v>590</v>
      </c>
      <c r="BI30" s="33">
        <v>596</v>
      </c>
      <c r="BJ30" s="33">
        <v>617</v>
      </c>
      <c r="BK30" s="33">
        <v>635</v>
      </c>
      <c r="BL30" s="33">
        <v>817</v>
      </c>
    </row>
    <row r="31" spans="1:64" ht="14.15" customHeight="1" x14ac:dyDescent="0.35">
      <c r="A31" s="31" t="s">
        <v>159</v>
      </c>
      <c r="B31" s="36">
        <v>604</v>
      </c>
      <c r="C31" s="36">
        <v>530</v>
      </c>
      <c r="D31" s="36">
        <v>572</v>
      </c>
      <c r="E31" s="36">
        <v>699</v>
      </c>
      <c r="F31" s="36">
        <v>612</v>
      </c>
      <c r="G31" s="36">
        <v>782</v>
      </c>
      <c r="H31" s="36">
        <v>1037</v>
      </c>
      <c r="I31" s="36">
        <v>1010</v>
      </c>
      <c r="J31" s="36">
        <v>997</v>
      </c>
      <c r="K31" s="36">
        <v>1035</v>
      </c>
      <c r="L31" s="36">
        <v>1296</v>
      </c>
      <c r="M31" s="36">
        <v>1237</v>
      </c>
      <c r="N31" s="36">
        <v>1303</v>
      </c>
      <c r="O31" s="36">
        <v>2916</v>
      </c>
      <c r="P31" s="36">
        <v>4204</v>
      </c>
      <c r="Q31" s="36">
        <v>5770</v>
      </c>
      <c r="R31" s="36">
        <v>7991</v>
      </c>
      <c r="S31" s="36">
        <v>9179</v>
      </c>
      <c r="T31" s="36">
        <v>10156</v>
      </c>
      <c r="U31" s="36">
        <v>15166</v>
      </c>
      <c r="V31" s="36">
        <v>13527</v>
      </c>
      <c r="W31" s="36">
        <v>9353</v>
      </c>
      <c r="X31" s="36">
        <v>7073</v>
      </c>
      <c r="Y31" s="36">
        <v>5608</v>
      </c>
      <c r="Z31" s="36">
        <v>4690</v>
      </c>
      <c r="AA31" s="36">
        <v>4072</v>
      </c>
      <c r="AB31" s="36">
        <v>2296</v>
      </c>
      <c r="AC31" s="36">
        <v>2705</v>
      </c>
      <c r="AD31" s="36">
        <v>3341</v>
      </c>
      <c r="AE31" s="36">
        <v>2436</v>
      </c>
      <c r="AF31" s="36">
        <v>4499</v>
      </c>
      <c r="AG31" s="36">
        <v>4319</v>
      </c>
      <c r="AH31" s="36">
        <v>5218</v>
      </c>
      <c r="AI31" s="36">
        <v>4936</v>
      </c>
      <c r="AJ31" s="36">
        <v>2839</v>
      </c>
      <c r="AK31" s="36">
        <v>1475</v>
      </c>
      <c r="AL31" s="36">
        <v>1270</v>
      </c>
      <c r="AM31" s="36">
        <v>911</v>
      </c>
      <c r="AN31" s="36">
        <v>-761</v>
      </c>
      <c r="AO31" s="36">
        <v>9</v>
      </c>
      <c r="AP31" s="36">
        <v>475</v>
      </c>
      <c r="AQ31" s="36">
        <v>-725</v>
      </c>
      <c r="AR31" s="36">
        <v>-147</v>
      </c>
      <c r="AS31" s="36">
        <v>440</v>
      </c>
      <c r="AT31" s="36">
        <v>785</v>
      </c>
      <c r="AU31" s="36">
        <v>-852</v>
      </c>
      <c r="AV31" s="36">
        <v>631</v>
      </c>
      <c r="AW31" s="36">
        <v>4755</v>
      </c>
      <c r="AX31" s="36">
        <v>11618</v>
      </c>
      <c r="AY31" s="36">
        <v>12174</v>
      </c>
      <c r="AZ31" s="36">
        <v>14858</v>
      </c>
      <c r="BA31" s="36">
        <v>11042</v>
      </c>
      <c r="BB31" s="36">
        <v>5270</v>
      </c>
      <c r="BC31" s="36">
        <v>6841</v>
      </c>
      <c r="BD31" s="36">
        <v>3721</v>
      </c>
      <c r="BE31" s="36">
        <v>3856</v>
      </c>
      <c r="BF31" s="36">
        <v>2169</v>
      </c>
      <c r="BG31" s="36">
        <v>5041</v>
      </c>
      <c r="BH31" s="36">
        <v>7083</v>
      </c>
      <c r="BI31" s="34">
        <v>5977</v>
      </c>
      <c r="BJ31" s="34">
        <v>-9132</v>
      </c>
      <c r="BK31" s="34">
        <v>-406</v>
      </c>
      <c r="BL31" s="34">
        <v>13571</v>
      </c>
    </row>
    <row r="32" spans="1:64" ht="14.15" customHeight="1" x14ac:dyDescent="0.35">
      <c r="A32" s="28" t="s">
        <v>160</v>
      </c>
      <c r="B32" s="29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J32" s="22"/>
      <c r="BK32" s="22"/>
      <c r="BL32" s="22"/>
    </row>
    <row r="33" spans="1:64" ht="14.15" customHeight="1" x14ac:dyDescent="0.35">
      <c r="A33" s="31" t="s">
        <v>161</v>
      </c>
      <c r="B33" s="35">
        <v>1290</v>
      </c>
      <c r="C33" s="35">
        <v>1448</v>
      </c>
      <c r="D33" s="35">
        <v>1461</v>
      </c>
      <c r="E33" s="35">
        <v>1546</v>
      </c>
      <c r="F33" s="35">
        <v>1704</v>
      </c>
      <c r="G33" s="35">
        <v>1685</v>
      </c>
      <c r="H33" s="35">
        <v>1644</v>
      </c>
      <c r="I33" s="35">
        <v>1591</v>
      </c>
      <c r="J33" s="35">
        <v>1514</v>
      </c>
      <c r="K33" s="35">
        <v>1768</v>
      </c>
      <c r="L33" s="35">
        <v>1948</v>
      </c>
      <c r="M33" s="35">
        <v>2221</v>
      </c>
      <c r="N33" s="35">
        <v>2200</v>
      </c>
      <c r="O33" s="35">
        <v>2608</v>
      </c>
      <c r="P33" s="35">
        <v>2742</v>
      </c>
      <c r="Q33" s="35">
        <v>3213</v>
      </c>
      <c r="R33" s="35">
        <v>3431</v>
      </c>
      <c r="S33" s="35">
        <v>3853</v>
      </c>
      <c r="T33" s="35">
        <v>4223</v>
      </c>
      <c r="U33" s="35">
        <v>4132</v>
      </c>
      <c r="V33" s="35">
        <v>3948</v>
      </c>
      <c r="W33" s="35">
        <v>3904</v>
      </c>
      <c r="X33" s="35">
        <v>4070</v>
      </c>
      <c r="Y33" s="35">
        <v>4122</v>
      </c>
      <c r="Z33" s="35">
        <v>4041</v>
      </c>
      <c r="AA33" s="35">
        <v>3783</v>
      </c>
      <c r="AB33" s="35">
        <v>4034</v>
      </c>
      <c r="AC33" s="35">
        <v>4271</v>
      </c>
      <c r="AD33" s="35">
        <v>4401</v>
      </c>
      <c r="AE33" s="35">
        <v>4366</v>
      </c>
      <c r="AF33" s="35">
        <v>4559</v>
      </c>
      <c r="AG33" s="35">
        <v>4258</v>
      </c>
      <c r="AH33" s="35">
        <v>4488</v>
      </c>
      <c r="AI33" s="35">
        <v>4625</v>
      </c>
      <c r="AJ33" s="35">
        <v>4536</v>
      </c>
      <c r="AK33" s="35">
        <v>4411</v>
      </c>
      <c r="AL33" s="35">
        <v>4647</v>
      </c>
      <c r="AM33" s="35">
        <v>4725</v>
      </c>
      <c r="AN33" s="35">
        <v>5078</v>
      </c>
      <c r="AO33" s="35">
        <v>5237</v>
      </c>
      <c r="AP33" s="35">
        <v>5570</v>
      </c>
      <c r="AQ33" s="35">
        <v>5492</v>
      </c>
      <c r="AR33" s="35">
        <v>5571</v>
      </c>
      <c r="AS33" s="35">
        <v>5726</v>
      </c>
      <c r="AT33" s="35">
        <v>8030</v>
      </c>
      <c r="AU33" s="35">
        <v>5104</v>
      </c>
      <c r="AV33" s="35">
        <v>6074</v>
      </c>
      <c r="AW33" s="35">
        <v>8068</v>
      </c>
      <c r="AX33" s="35">
        <v>11662</v>
      </c>
      <c r="AY33" s="35">
        <v>11621</v>
      </c>
      <c r="AZ33" s="35">
        <v>9178</v>
      </c>
      <c r="BA33" s="35">
        <v>7675</v>
      </c>
      <c r="BB33" s="35">
        <v>7912</v>
      </c>
      <c r="BC33" s="35">
        <v>7760</v>
      </c>
      <c r="BD33" s="35">
        <v>7378</v>
      </c>
      <c r="BE33" s="35">
        <v>7527</v>
      </c>
      <c r="BF33" s="35">
        <v>5943</v>
      </c>
      <c r="BG33" s="35">
        <v>7785</v>
      </c>
      <c r="BH33" s="35">
        <v>8909</v>
      </c>
      <c r="BI33" s="33">
        <v>9643</v>
      </c>
      <c r="BJ33" s="33">
        <v>10441</v>
      </c>
      <c r="BK33" s="33">
        <v>10458</v>
      </c>
      <c r="BL33" s="33">
        <v>14425</v>
      </c>
    </row>
    <row r="34" spans="1:64" ht="14.15" customHeight="1" x14ac:dyDescent="0.35">
      <c r="A34" s="31" t="s">
        <v>162</v>
      </c>
      <c r="B34" s="35">
        <v>376</v>
      </c>
      <c r="C34" s="35">
        <v>357</v>
      </c>
      <c r="D34" s="35">
        <v>364</v>
      </c>
      <c r="E34" s="35">
        <v>384</v>
      </c>
      <c r="F34" s="35">
        <v>351</v>
      </c>
      <c r="G34" s="35">
        <v>417</v>
      </c>
      <c r="H34" s="35">
        <v>457</v>
      </c>
      <c r="I34" s="35">
        <v>323</v>
      </c>
      <c r="J34" s="35">
        <v>436</v>
      </c>
      <c r="K34" s="35">
        <v>553</v>
      </c>
      <c r="L34" s="35">
        <v>522</v>
      </c>
      <c r="M34" s="35">
        <v>403</v>
      </c>
      <c r="N34" s="35">
        <v>243</v>
      </c>
      <c r="O34" s="35">
        <v>761</v>
      </c>
      <c r="P34" s="35">
        <v>744</v>
      </c>
      <c r="Q34" s="35">
        <v>736</v>
      </c>
      <c r="R34" s="35">
        <v>1229</v>
      </c>
      <c r="S34" s="35">
        <v>1070</v>
      </c>
      <c r="T34" s="35">
        <v>1348</v>
      </c>
      <c r="U34" s="35">
        <v>1490</v>
      </c>
      <c r="V34" s="35">
        <v>1365</v>
      </c>
      <c r="W34" s="35">
        <v>1787</v>
      </c>
      <c r="X34" s="35">
        <v>1615</v>
      </c>
      <c r="Y34" s="35">
        <v>1860</v>
      </c>
      <c r="Z34" s="35">
        <v>1749</v>
      </c>
      <c r="AA34" s="35">
        <v>1822</v>
      </c>
      <c r="AB34" s="35">
        <v>2589</v>
      </c>
      <c r="AC34" s="35">
        <v>3792</v>
      </c>
      <c r="AD34" s="35">
        <v>4030</v>
      </c>
      <c r="AE34" s="35">
        <v>4646</v>
      </c>
      <c r="AF34" s="35">
        <v>5268</v>
      </c>
      <c r="AG34" s="35">
        <v>5498</v>
      </c>
      <c r="AH34" s="35">
        <v>5789</v>
      </c>
      <c r="AI34" s="35">
        <v>5958</v>
      </c>
      <c r="AJ34" s="35">
        <v>5980</v>
      </c>
      <c r="AK34" s="35">
        <v>5669</v>
      </c>
      <c r="AL34" s="35">
        <v>6204</v>
      </c>
      <c r="AM34" s="35">
        <v>6367</v>
      </c>
      <c r="AN34" s="35">
        <v>6762</v>
      </c>
      <c r="AO34" s="35">
        <v>7109</v>
      </c>
      <c r="AP34" s="35">
        <v>9797</v>
      </c>
      <c r="AQ34" s="35">
        <v>9739</v>
      </c>
      <c r="AR34" s="35">
        <v>9758</v>
      </c>
      <c r="AS34" s="35">
        <v>6226</v>
      </c>
      <c r="AT34" s="35">
        <v>7813</v>
      </c>
      <c r="AU34" s="35">
        <v>9646</v>
      </c>
      <c r="AV34" s="35">
        <v>8718</v>
      </c>
      <c r="AW34" s="35">
        <v>9813</v>
      </c>
      <c r="AX34" s="35">
        <v>10783</v>
      </c>
      <c r="AY34" s="35">
        <v>11955</v>
      </c>
      <c r="AZ34" s="35">
        <v>11101</v>
      </c>
      <c r="BA34" s="35">
        <v>10723</v>
      </c>
      <c r="BB34" s="35">
        <v>9707</v>
      </c>
      <c r="BC34" s="35">
        <v>10519</v>
      </c>
      <c r="BD34" s="35">
        <v>12305</v>
      </c>
      <c r="BE34" s="35">
        <v>12244</v>
      </c>
      <c r="BF34" s="35">
        <v>13408</v>
      </c>
      <c r="BG34" s="35">
        <v>11108</v>
      </c>
      <c r="BH34" s="35">
        <v>13539</v>
      </c>
      <c r="BI34" s="33">
        <v>14811</v>
      </c>
      <c r="BJ34" s="33">
        <v>10144</v>
      </c>
      <c r="BK34" s="33">
        <v>11900</v>
      </c>
      <c r="BL34" s="33">
        <v>16848</v>
      </c>
    </row>
    <row r="35" spans="1:64" ht="14.15" customHeight="1" x14ac:dyDescent="0.35">
      <c r="A35" s="31" t="s">
        <v>163</v>
      </c>
      <c r="B35" s="35">
        <v>123</v>
      </c>
      <c r="C35" s="35">
        <v>148</v>
      </c>
      <c r="D35" s="35">
        <v>167</v>
      </c>
      <c r="E35" s="35">
        <v>175</v>
      </c>
      <c r="F35" s="35">
        <v>189</v>
      </c>
      <c r="G35" s="35">
        <v>222</v>
      </c>
      <c r="H35" s="35">
        <v>269</v>
      </c>
      <c r="I35" s="35">
        <v>315</v>
      </c>
      <c r="J35" s="35">
        <v>303</v>
      </c>
      <c r="K35" s="35">
        <v>397</v>
      </c>
      <c r="L35" s="35">
        <v>439</v>
      </c>
      <c r="M35" s="35">
        <v>464</v>
      </c>
      <c r="N35" s="35">
        <v>551</v>
      </c>
      <c r="O35" s="35">
        <v>696</v>
      </c>
      <c r="P35" s="35">
        <v>739</v>
      </c>
      <c r="Q35" s="35">
        <v>838</v>
      </c>
      <c r="R35" s="35">
        <v>1207</v>
      </c>
      <c r="S35" s="35">
        <v>1239</v>
      </c>
      <c r="T35" s="35">
        <v>1372</v>
      </c>
      <c r="U35" s="35">
        <v>1297</v>
      </c>
      <c r="V35" s="35">
        <v>1154</v>
      </c>
      <c r="W35" s="35">
        <v>1170</v>
      </c>
      <c r="X35" s="35">
        <v>1263</v>
      </c>
      <c r="Y35" s="35">
        <v>1230</v>
      </c>
      <c r="Z35" s="35">
        <v>1141</v>
      </c>
      <c r="AA35" s="35">
        <v>1206</v>
      </c>
      <c r="AB35" s="35">
        <v>1268</v>
      </c>
      <c r="AC35" s="35">
        <v>1336</v>
      </c>
      <c r="AD35" s="35">
        <v>1388</v>
      </c>
      <c r="AE35" s="35">
        <v>1531</v>
      </c>
      <c r="AF35" s="35">
        <v>1681</v>
      </c>
      <c r="AG35" s="35">
        <v>1890</v>
      </c>
      <c r="AH35" s="35">
        <v>1871</v>
      </c>
      <c r="AI35" s="35">
        <v>1998</v>
      </c>
      <c r="AJ35" s="35">
        <v>1933</v>
      </c>
      <c r="AK35" s="35">
        <v>2029</v>
      </c>
      <c r="AL35" s="35">
        <v>2092</v>
      </c>
      <c r="AM35" s="35">
        <v>2657</v>
      </c>
      <c r="AN35" s="35">
        <v>2540</v>
      </c>
      <c r="AO35" s="35">
        <v>2311</v>
      </c>
      <c r="AP35" s="35">
        <v>2735</v>
      </c>
      <c r="AQ35" s="35">
        <v>2843</v>
      </c>
      <c r="AR35" s="35">
        <v>2944</v>
      </c>
      <c r="AS35" s="35">
        <v>2990</v>
      </c>
      <c r="AT35" s="35">
        <v>3042</v>
      </c>
      <c r="AU35" s="35">
        <v>2956</v>
      </c>
      <c r="AV35" s="35">
        <v>3208</v>
      </c>
      <c r="AW35" s="35">
        <v>3550</v>
      </c>
      <c r="AX35" s="35">
        <v>3911</v>
      </c>
      <c r="AY35" s="35">
        <v>4157</v>
      </c>
      <c r="AZ35" s="35">
        <v>3752</v>
      </c>
      <c r="BA35" s="35">
        <v>3506</v>
      </c>
      <c r="BB35" s="35">
        <v>3362</v>
      </c>
      <c r="BC35" s="35">
        <v>3501</v>
      </c>
      <c r="BD35" s="35">
        <v>3688</v>
      </c>
      <c r="BE35" s="35">
        <v>3874</v>
      </c>
      <c r="BF35" s="35">
        <v>3988</v>
      </c>
      <c r="BG35" s="35">
        <v>3894</v>
      </c>
      <c r="BH35" s="35">
        <v>4195</v>
      </c>
      <c r="BI35" s="33">
        <v>4204</v>
      </c>
      <c r="BJ35" s="33">
        <v>4480</v>
      </c>
      <c r="BK35" s="33">
        <v>4914</v>
      </c>
      <c r="BL35" s="33">
        <v>5301</v>
      </c>
    </row>
    <row r="36" spans="1:64" ht="14.15" customHeight="1" x14ac:dyDescent="0.35">
      <c r="A36" s="31" t="s">
        <v>164</v>
      </c>
      <c r="B36" s="35">
        <v>70</v>
      </c>
      <c r="C36" s="35">
        <v>87</v>
      </c>
      <c r="D36" s="35">
        <v>117</v>
      </c>
      <c r="E36" s="35">
        <v>134</v>
      </c>
      <c r="F36" s="35">
        <v>158</v>
      </c>
      <c r="G36" s="35">
        <v>190</v>
      </c>
      <c r="H36" s="35">
        <v>249</v>
      </c>
      <c r="I36" s="35">
        <v>303</v>
      </c>
      <c r="J36" s="35">
        <v>384</v>
      </c>
      <c r="K36" s="35">
        <v>702</v>
      </c>
      <c r="L36" s="35">
        <v>764</v>
      </c>
      <c r="M36" s="35">
        <v>1122</v>
      </c>
      <c r="N36" s="35">
        <v>2035</v>
      </c>
      <c r="O36" s="35">
        <v>2523</v>
      </c>
      <c r="P36" s="35">
        <v>3067</v>
      </c>
      <c r="Q36" s="35">
        <v>4279</v>
      </c>
      <c r="R36" s="35">
        <v>3965</v>
      </c>
      <c r="S36" s="35">
        <v>4707</v>
      </c>
      <c r="T36" s="35">
        <v>5510</v>
      </c>
      <c r="U36" s="35">
        <v>5170</v>
      </c>
      <c r="V36" s="35">
        <v>5012</v>
      </c>
      <c r="W36" s="35">
        <v>4263</v>
      </c>
      <c r="X36" s="35">
        <v>4044</v>
      </c>
      <c r="Y36" s="35">
        <v>4465</v>
      </c>
      <c r="Z36" s="35">
        <v>4831</v>
      </c>
      <c r="AA36" s="35">
        <v>4869</v>
      </c>
      <c r="AB36" s="35">
        <v>4832</v>
      </c>
      <c r="AC36" s="35">
        <v>4878</v>
      </c>
      <c r="AD36" s="35">
        <v>5156</v>
      </c>
      <c r="AE36" s="35">
        <v>5854</v>
      </c>
      <c r="AF36" s="35">
        <v>6073</v>
      </c>
      <c r="AG36" s="35">
        <v>6066</v>
      </c>
      <c r="AH36" s="35">
        <v>6042</v>
      </c>
      <c r="AI36" s="35">
        <v>6502</v>
      </c>
      <c r="AJ36" s="35">
        <v>6180</v>
      </c>
      <c r="AK36" s="35">
        <v>6284</v>
      </c>
      <c r="AL36" s="35">
        <v>6417</v>
      </c>
      <c r="AM36" s="35">
        <v>6891</v>
      </c>
      <c r="AN36" s="35">
        <v>7395</v>
      </c>
      <c r="AO36" s="35">
        <v>7502</v>
      </c>
      <c r="AP36" s="35">
        <v>7602</v>
      </c>
      <c r="AQ36" s="35">
        <v>8201</v>
      </c>
      <c r="AR36" s="35">
        <v>8473</v>
      </c>
      <c r="AS36" s="35">
        <v>8065</v>
      </c>
      <c r="AT36" s="35">
        <v>8565</v>
      </c>
      <c r="AU36" s="35">
        <v>8410</v>
      </c>
      <c r="AV36" s="35">
        <v>8079</v>
      </c>
      <c r="AW36" s="35">
        <v>8270</v>
      </c>
      <c r="AX36" s="35">
        <v>10841</v>
      </c>
      <c r="AY36" s="35">
        <v>10946</v>
      </c>
      <c r="AZ36" s="35">
        <v>10813</v>
      </c>
      <c r="BA36" s="35">
        <v>9624</v>
      </c>
      <c r="BB36" s="35">
        <v>8634</v>
      </c>
      <c r="BC36" s="35">
        <v>7240</v>
      </c>
      <c r="BD36" s="35">
        <v>8619</v>
      </c>
      <c r="BE36" s="35">
        <v>8089</v>
      </c>
      <c r="BF36" s="35">
        <v>8028</v>
      </c>
      <c r="BG36" s="35">
        <v>8188</v>
      </c>
      <c r="BH36" s="35">
        <v>8732</v>
      </c>
      <c r="BI36" s="33">
        <v>8383</v>
      </c>
      <c r="BJ36" s="33">
        <v>9174</v>
      </c>
      <c r="BK36" s="33">
        <v>12465</v>
      </c>
      <c r="BL36" s="33">
        <v>13303</v>
      </c>
    </row>
    <row r="37" spans="1:64" ht="14.15" customHeight="1" x14ac:dyDescent="0.35">
      <c r="A37" s="31" t="s">
        <v>165</v>
      </c>
      <c r="B37" s="35">
        <v>186</v>
      </c>
      <c r="C37" s="35">
        <v>212</v>
      </c>
      <c r="D37" s="35">
        <v>255</v>
      </c>
      <c r="E37" s="35">
        <v>292</v>
      </c>
      <c r="F37" s="35">
        <v>317</v>
      </c>
      <c r="G37" s="35">
        <v>354</v>
      </c>
      <c r="H37" s="35">
        <v>370</v>
      </c>
      <c r="I37" s="35">
        <v>368</v>
      </c>
      <c r="J37" s="35">
        <v>428</v>
      </c>
      <c r="K37" s="35">
        <v>495</v>
      </c>
      <c r="L37" s="35">
        <v>567</v>
      </c>
      <c r="M37" s="35">
        <v>565</v>
      </c>
      <c r="N37" s="35">
        <v>668</v>
      </c>
      <c r="O37" s="35">
        <v>757</v>
      </c>
      <c r="P37" s="35">
        <v>891</v>
      </c>
      <c r="Q37" s="35">
        <v>966</v>
      </c>
      <c r="R37" s="35">
        <v>1151</v>
      </c>
      <c r="S37" s="35">
        <v>1266</v>
      </c>
      <c r="T37" s="35">
        <v>1405</v>
      </c>
      <c r="U37" s="35">
        <v>1478</v>
      </c>
      <c r="V37" s="35">
        <v>1519</v>
      </c>
      <c r="W37" s="35">
        <v>1548</v>
      </c>
      <c r="X37" s="35">
        <v>1595</v>
      </c>
      <c r="Y37" s="35">
        <v>1668</v>
      </c>
      <c r="Z37" s="35">
        <v>1866</v>
      </c>
      <c r="AA37" s="35">
        <v>1675</v>
      </c>
      <c r="AB37" s="35">
        <v>1878</v>
      </c>
      <c r="AC37" s="35">
        <v>1890</v>
      </c>
      <c r="AD37" s="35">
        <v>2080</v>
      </c>
      <c r="AE37" s="35">
        <v>2148</v>
      </c>
      <c r="AF37" s="35">
        <v>2420</v>
      </c>
      <c r="AG37" s="35">
        <v>2512</v>
      </c>
      <c r="AH37" s="35">
        <v>2811</v>
      </c>
      <c r="AI37" s="35">
        <v>2806</v>
      </c>
      <c r="AJ37" s="35">
        <v>2874</v>
      </c>
      <c r="AK37" s="35">
        <v>2808</v>
      </c>
      <c r="AL37" s="35">
        <v>2918</v>
      </c>
      <c r="AM37" s="35">
        <v>3303</v>
      </c>
      <c r="AN37" s="35">
        <v>3228</v>
      </c>
      <c r="AO37" s="35">
        <v>3373</v>
      </c>
      <c r="AP37" s="35">
        <v>3722</v>
      </c>
      <c r="AQ37" s="35">
        <v>3392</v>
      </c>
      <c r="AR37" s="35">
        <v>3948</v>
      </c>
      <c r="AS37" s="35">
        <v>4976</v>
      </c>
      <c r="AT37" s="35">
        <v>5575</v>
      </c>
      <c r="AU37" s="35">
        <v>5605</v>
      </c>
      <c r="AV37" s="35">
        <v>5741</v>
      </c>
      <c r="AW37" s="35">
        <v>5872</v>
      </c>
      <c r="AX37" s="35">
        <v>6470</v>
      </c>
      <c r="AY37" s="35">
        <v>6794</v>
      </c>
      <c r="AZ37" s="35">
        <v>6787</v>
      </c>
      <c r="BA37" s="35">
        <v>6617</v>
      </c>
      <c r="BB37" s="35">
        <v>6556</v>
      </c>
      <c r="BC37" s="35">
        <v>7013</v>
      </c>
      <c r="BD37" s="35">
        <v>7091</v>
      </c>
      <c r="BE37" s="35">
        <v>6162</v>
      </c>
      <c r="BF37" s="35">
        <v>7708</v>
      </c>
      <c r="BG37" s="35">
        <v>6861</v>
      </c>
      <c r="BH37" s="35">
        <v>7075</v>
      </c>
      <c r="BI37" s="33">
        <v>7110</v>
      </c>
      <c r="BJ37" s="33">
        <v>7145</v>
      </c>
      <c r="BK37" s="33">
        <v>7650</v>
      </c>
      <c r="BL37" s="33">
        <v>8592</v>
      </c>
    </row>
    <row r="38" spans="1:64" ht="14.15" customHeight="1" x14ac:dyDescent="0.35">
      <c r="A38" s="31" t="s">
        <v>166</v>
      </c>
      <c r="B38" s="36">
        <v>2044</v>
      </c>
      <c r="C38" s="36">
        <v>2251</v>
      </c>
      <c r="D38" s="36">
        <v>2364</v>
      </c>
      <c r="E38" s="36">
        <v>2531</v>
      </c>
      <c r="F38" s="36">
        <v>2719</v>
      </c>
      <c r="G38" s="36">
        <v>2869</v>
      </c>
      <c r="H38" s="36">
        <v>2988</v>
      </c>
      <c r="I38" s="36">
        <v>2900</v>
      </c>
      <c r="J38" s="36">
        <v>3065</v>
      </c>
      <c r="K38" s="36">
        <v>3915</v>
      </c>
      <c r="L38" s="36">
        <v>4241</v>
      </c>
      <c r="M38" s="36">
        <v>4775</v>
      </c>
      <c r="N38" s="36">
        <v>5697</v>
      </c>
      <c r="O38" s="36">
        <v>7346</v>
      </c>
      <c r="P38" s="36">
        <v>8184</v>
      </c>
      <c r="Q38" s="36">
        <v>10032</v>
      </c>
      <c r="R38" s="36">
        <v>10983</v>
      </c>
      <c r="S38" s="36">
        <v>12135</v>
      </c>
      <c r="T38" s="36">
        <v>13858</v>
      </c>
      <c r="U38" s="36">
        <v>13568</v>
      </c>
      <c r="V38" s="36">
        <v>12998</v>
      </c>
      <c r="W38" s="36">
        <v>12672</v>
      </c>
      <c r="X38" s="36">
        <v>12586</v>
      </c>
      <c r="Y38" s="36">
        <v>13345</v>
      </c>
      <c r="Z38" s="36">
        <v>13628</v>
      </c>
      <c r="AA38" s="36">
        <v>13355</v>
      </c>
      <c r="AB38" s="36">
        <v>14601</v>
      </c>
      <c r="AC38" s="36">
        <v>16169</v>
      </c>
      <c r="AD38" s="36">
        <v>17055</v>
      </c>
      <c r="AE38" s="36">
        <v>18544</v>
      </c>
      <c r="AF38" s="36">
        <v>20001</v>
      </c>
      <c r="AG38" s="36">
        <v>20224</v>
      </c>
      <c r="AH38" s="36">
        <v>21000</v>
      </c>
      <c r="AI38" s="36">
        <v>21889</v>
      </c>
      <c r="AJ38" s="36">
        <v>21503</v>
      </c>
      <c r="AK38" s="36">
        <v>21201</v>
      </c>
      <c r="AL38" s="36">
        <v>22278</v>
      </c>
      <c r="AM38" s="36">
        <v>23943</v>
      </c>
      <c r="AN38" s="36">
        <v>25003</v>
      </c>
      <c r="AO38" s="36">
        <v>25532</v>
      </c>
      <c r="AP38" s="36">
        <v>29426</v>
      </c>
      <c r="AQ38" s="36">
        <v>29667</v>
      </c>
      <c r="AR38" s="36">
        <v>30694</v>
      </c>
      <c r="AS38" s="36">
        <v>27983</v>
      </c>
      <c r="AT38" s="36">
        <v>33025</v>
      </c>
      <c r="AU38" s="36">
        <v>31721</v>
      </c>
      <c r="AV38" s="36">
        <v>31820</v>
      </c>
      <c r="AW38" s="36">
        <v>35573</v>
      </c>
      <c r="AX38" s="36">
        <v>43667</v>
      </c>
      <c r="AY38" s="36">
        <v>45473</v>
      </c>
      <c r="AZ38" s="36">
        <v>41631</v>
      </c>
      <c r="BA38" s="36">
        <v>38145</v>
      </c>
      <c r="BB38" s="36">
        <v>36171</v>
      </c>
      <c r="BC38" s="36">
        <v>36033</v>
      </c>
      <c r="BD38" s="36">
        <v>39081</v>
      </c>
      <c r="BE38" s="36">
        <v>37896</v>
      </c>
      <c r="BF38" s="36">
        <v>39075</v>
      </c>
      <c r="BG38" s="36">
        <v>37836</v>
      </c>
      <c r="BH38" s="36">
        <v>42450</v>
      </c>
      <c r="BI38" s="34">
        <v>44151</v>
      </c>
      <c r="BJ38" s="34">
        <v>41384</v>
      </c>
      <c r="BK38" s="34">
        <v>47387</v>
      </c>
      <c r="BL38" s="34">
        <v>58469</v>
      </c>
    </row>
    <row r="39" spans="1:64" ht="14.15" customHeight="1" x14ac:dyDescent="0.35">
      <c r="A39" s="28" t="s">
        <v>167</v>
      </c>
      <c r="B39" s="29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J39" s="22"/>
      <c r="BK39" s="22"/>
      <c r="BL39" s="22"/>
    </row>
    <row r="40" spans="1:64" ht="14.15" customHeight="1" x14ac:dyDescent="0.35">
      <c r="A40" s="31" t="s">
        <v>168</v>
      </c>
      <c r="B40" s="35">
        <v>3222</v>
      </c>
      <c r="C40" s="35">
        <v>4047</v>
      </c>
      <c r="D40" s="35">
        <v>4241</v>
      </c>
      <c r="E40" s="35">
        <v>3551</v>
      </c>
      <c r="F40" s="35">
        <v>2004</v>
      </c>
      <c r="G40" s="35">
        <v>2515</v>
      </c>
      <c r="H40" s="35">
        <v>4032</v>
      </c>
      <c r="I40" s="35">
        <v>5304</v>
      </c>
      <c r="J40" s="35">
        <v>4589</v>
      </c>
      <c r="K40" s="35">
        <v>3651</v>
      </c>
      <c r="L40" s="35">
        <v>4553</v>
      </c>
      <c r="M40" s="35">
        <v>4099</v>
      </c>
      <c r="N40" s="35">
        <v>1458</v>
      </c>
      <c r="O40" s="35">
        <v>2160</v>
      </c>
      <c r="P40" s="35">
        <v>2249</v>
      </c>
      <c r="Q40" s="35">
        <v>5735</v>
      </c>
      <c r="R40" s="35">
        <v>10228</v>
      </c>
      <c r="S40" s="35">
        <v>9895</v>
      </c>
      <c r="T40" s="35">
        <v>7441</v>
      </c>
      <c r="U40" s="35">
        <v>9783</v>
      </c>
      <c r="V40" s="35">
        <v>14344</v>
      </c>
      <c r="W40" s="35">
        <v>21316</v>
      </c>
      <c r="X40" s="35">
        <v>11828</v>
      </c>
      <c r="Y40" s="35">
        <v>23702</v>
      </c>
      <c r="Z40" s="35">
        <v>29570</v>
      </c>
      <c r="AA40" s="35">
        <v>24697</v>
      </c>
      <c r="AB40" s="35">
        <v>15223</v>
      </c>
      <c r="AC40" s="35">
        <v>14699</v>
      </c>
      <c r="AD40" s="35">
        <v>9550</v>
      </c>
      <c r="AE40" s="35">
        <v>12743</v>
      </c>
      <c r="AF40" s="35">
        <v>12499</v>
      </c>
      <c r="AG40" s="35">
        <v>17557</v>
      </c>
      <c r="AH40" s="35">
        <v>12219</v>
      </c>
      <c r="AI40" s="35">
        <v>7037</v>
      </c>
      <c r="AJ40" s="35">
        <v>6478</v>
      </c>
      <c r="AK40" s="35">
        <v>6261</v>
      </c>
      <c r="AL40" s="35">
        <v>9313</v>
      </c>
      <c r="AM40" s="35">
        <v>20039</v>
      </c>
      <c r="AN40" s="35">
        <v>33442</v>
      </c>
      <c r="AO40" s="35">
        <v>22746</v>
      </c>
      <c r="AP40" s="35">
        <v>18371</v>
      </c>
      <c r="AQ40" s="35">
        <v>18302</v>
      </c>
      <c r="AR40" s="35">
        <v>11182</v>
      </c>
      <c r="AS40" s="35">
        <v>22043</v>
      </c>
      <c r="AT40" s="35">
        <v>21405</v>
      </c>
      <c r="AU40" s="35">
        <v>13089</v>
      </c>
      <c r="AV40" s="35">
        <v>13756</v>
      </c>
      <c r="AW40" s="35">
        <v>17628</v>
      </c>
      <c r="AX40" s="35">
        <v>16478</v>
      </c>
      <c r="AY40" s="35">
        <v>15876</v>
      </c>
      <c r="AZ40" s="35">
        <v>13061</v>
      </c>
      <c r="BA40" s="35">
        <v>25213</v>
      </c>
      <c r="BB40" s="35">
        <v>20012</v>
      </c>
      <c r="BC40" s="35">
        <v>13424</v>
      </c>
      <c r="BD40" s="35">
        <v>13418</v>
      </c>
      <c r="BE40" s="35">
        <v>14204</v>
      </c>
      <c r="BF40" s="35">
        <v>16718</v>
      </c>
      <c r="BG40" s="35">
        <v>32892</v>
      </c>
      <c r="BH40" s="35">
        <v>26403</v>
      </c>
      <c r="BI40" s="33">
        <v>16663</v>
      </c>
      <c r="BJ40" s="33">
        <v>16437</v>
      </c>
      <c r="BK40" s="33">
        <v>24633</v>
      </c>
      <c r="BL40" s="33">
        <v>15783</v>
      </c>
    </row>
    <row r="41" spans="1:64" ht="14.15" customHeight="1" x14ac:dyDescent="0.35">
      <c r="A41" s="31" t="s">
        <v>169</v>
      </c>
      <c r="B41" s="35">
        <v>340</v>
      </c>
      <c r="C41" s="35">
        <v>337</v>
      </c>
      <c r="D41" s="35">
        <v>368</v>
      </c>
      <c r="E41" s="35">
        <v>404</v>
      </c>
      <c r="F41" s="35">
        <v>444</v>
      </c>
      <c r="G41" s="35">
        <v>475</v>
      </c>
      <c r="H41" s="35">
        <v>512</v>
      </c>
      <c r="I41" s="35">
        <v>521</v>
      </c>
      <c r="J41" s="35">
        <v>577</v>
      </c>
      <c r="K41" s="35">
        <v>639</v>
      </c>
      <c r="L41" s="35">
        <v>675</v>
      </c>
      <c r="M41" s="35">
        <v>722</v>
      </c>
      <c r="N41" s="35">
        <v>736</v>
      </c>
      <c r="O41" s="35">
        <v>837</v>
      </c>
      <c r="P41" s="35">
        <v>860</v>
      </c>
      <c r="Q41" s="35">
        <v>998</v>
      </c>
      <c r="R41" s="35">
        <v>1073</v>
      </c>
      <c r="S41" s="35">
        <v>1281</v>
      </c>
      <c r="T41" s="35">
        <v>1333</v>
      </c>
      <c r="U41" s="35">
        <v>1458</v>
      </c>
      <c r="V41" s="35">
        <v>1522</v>
      </c>
      <c r="W41" s="35">
        <v>1491</v>
      </c>
      <c r="X41" s="35">
        <v>1649</v>
      </c>
      <c r="Y41" s="35">
        <v>1725</v>
      </c>
      <c r="Z41" s="35">
        <v>1749</v>
      </c>
      <c r="AA41" s="35">
        <v>1770</v>
      </c>
      <c r="AB41" s="35">
        <v>1865</v>
      </c>
      <c r="AC41" s="35">
        <v>1999</v>
      </c>
      <c r="AD41" s="35">
        <v>2087</v>
      </c>
      <c r="AE41" s="35">
        <v>2143</v>
      </c>
      <c r="AF41" s="35">
        <v>2423</v>
      </c>
      <c r="AG41" s="35">
        <v>2524</v>
      </c>
      <c r="AH41" s="35">
        <v>2575</v>
      </c>
      <c r="AI41" s="35">
        <v>2634</v>
      </c>
      <c r="AJ41" s="35">
        <v>2557</v>
      </c>
      <c r="AK41" s="35">
        <v>2628</v>
      </c>
      <c r="AL41" s="35">
        <v>2764</v>
      </c>
      <c r="AM41" s="35">
        <v>2840</v>
      </c>
      <c r="AN41" s="35">
        <v>3016</v>
      </c>
      <c r="AO41" s="35">
        <v>3506</v>
      </c>
      <c r="AP41" s="35">
        <v>3594</v>
      </c>
      <c r="AQ41" s="35">
        <v>4194</v>
      </c>
      <c r="AR41" s="35">
        <v>4257</v>
      </c>
      <c r="AS41" s="35">
        <v>4522</v>
      </c>
      <c r="AT41" s="35">
        <v>4564</v>
      </c>
      <c r="AU41" s="35">
        <v>4573</v>
      </c>
      <c r="AV41" s="35">
        <v>4631</v>
      </c>
      <c r="AW41" s="35">
        <v>4609</v>
      </c>
      <c r="AX41" s="35">
        <v>4878</v>
      </c>
      <c r="AY41" s="35">
        <v>4786</v>
      </c>
      <c r="AZ41" s="35">
        <v>4730</v>
      </c>
      <c r="BA41" s="35">
        <v>4465</v>
      </c>
      <c r="BB41" s="35">
        <v>4374</v>
      </c>
      <c r="BC41" s="35">
        <v>5076</v>
      </c>
      <c r="BD41" s="35">
        <v>4926</v>
      </c>
      <c r="BE41" s="35">
        <v>4668</v>
      </c>
      <c r="BF41" s="35">
        <v>5071</v>
      </c>
      <c r="BG41" s="35">
        <v>5365</v>
      </c>
      <c r="BH41" s="35">
        <v>20895</v>
      </c>
      <c r="BI41" s="33">
        <v>30735</v>
      </c>
      <c r="BJ41" s="33">
        <v>16628</v>
      </c>
      <c r="BK41" s="33">
        <v>9018</v>
      </c>
      <c r="BL41" s="33">
        <v>17058</v>
      </c>
    </row>
    <row r="42" spans="1:64" ht="14.15" customHeight="1" x14ac:dyDescent="0.35">
      <c r="A42" s="31" t="s">
        <v>170</v>
      </c>
      <c r="B42" s="36">
        <v>3562</v>
      </c>
      <c r="C42" s="36">
        <v>4384</v>
      </c>
      <c r="D42" s="36">
        <v>4609</v>
      </c>
      <c r="E42" s="36">
        <v>3954</v>
      </c>
      <c r="F42" s="36">
        <v>2447</v>
      </c>
      <c r="G42" s="36">
        <v>2990</v>
      </c>
      <c r="H42" s="36">
        <v>4544</v>
      </c>
      <c r="I42" s="36">
        <v>5826</v>
      </c>
      <c r="J42" s="36">
        <v>5166</v>
      </c>
      <c r="K42" s="36">
        <v>4290</v>
      </c>
      <c r="L42" s="36">
        <v>5227</v>
      </c>
      <c r="M42" s="36">
        <v>4821</v>
      </c>
      <c r="N42" s="36">
        <v>2194</v>
      </c>
      <c r="O42" s="36">
        <v>2997</v>
      </c>
      <c r="P42" s="36">
        <v>3109</v>
      </c>
      <c r="Q42" s="36">
        <v>6734</v>
      </c>
      <c r="R42" s="36">
        <v>11301</v>
      </c>
      <c r="S42" s="36">
        <v>11176</v>
      </c>
      <c r="T42" s="36">
        <v>8774</v>
      </c>
      <c r="U42" s="36">
        <v>11241</v>
      </c>
      <c r="V42" s="36">
        <v>15866</v>
      </c>
      <c r="W42" s="36">
        <v>22807</v>
      </c>
      <c r="X42" s="36">
        <v>13477</v>
      </c>
      <c r="Y42" s="36">
        <v>25427</v>
      </c>
      <c r="Z42" s="36">
        <v>31319</v>
      </c>
      <c r="AA42" s="36">
        <v>26466</v>
      </c>
      <c r="AB42" s="36">
        <v>17088</v>
      </c>
      <c r="AC42" s="36">
        <v>16698</v>
      </c>
      <c r="AD42" s="36">
        <v>11637</v>
      </c>
      <c r="AE42" s="36">
        <v>14886</v>
      </c>
      <c r="AF42" s="36">
        <v>14922</v>
      </c>
      <c r="AG42" s="36">
        <v>20081</v>
      </c>
      <c r="AH42" s="36">
        <v>14795</v>
      </c>
      <c r="AI42" s="36">
        <v>9671</v>
      </c>
      <c r="AJ42" s="36">
        <v>9035</v>
      </c>
      <c r="AK42" s="36">
        <v>8889</v>
      </c>
      <c r="AL42" s="36">
        <v>12077</v>
      </c>
      <c r="AM42" s="36">
        <v>22879</v>
      </c>
      <c r="AN42" s="36">
        <v>36458</v>
      </c>
      <c r="AO42" s="36">
        <v>26252</v>
      </c>
      <c r="AP42" s="36">
        <v>21965</v>
      </c>
      <c r="AQ42" s="36">
        <v>22496</v>
      </c>
      <c r="AR42" s="36">
        <v>15439</v>
      </c>
      <c r="AS42" s="36">
        <v>26565</v>
      </c>
      <c r="AT42" s="36">
        <v>25969</v>
      </c>
      <c r="AU42" s="36">
        <v>17662</v>
      </c>
      <c r="AV42" s="36">
        <v>18387</v>
      </c>
      <c r="AW42" s="36">
        <v>22237</v>
      </c>
      <c r="AX42" s="36">
        <v>21356</v>
      </c>
      <c r="AY42" s="36">
        <v>20662</v>
      </c>
      <c r="AZ42" s="36">
        <v>17791</v>
      </c>
      <c r="BA42" s="36">
        <v>29678</v>
      </c>
      <c r="BB42" s="36">
        <v>24386</v>
      </c>
      <c r="BC42" s="36">
        <v>18500</v>
      </c>
      <c r="BD42" s="36">
        <v>18344</v>
      </c>
      <c r="BE42" s="36">
        <v>18872</v>
      </c>
      <c r="BF42" s="36">
        <v>21789</v>
      </c>
      <c r="BG42" s="36">
        <v>38257</v>
      </c>
      <c r="BH42" s="36">
        <v>47298</v>
      </c>
      <c r="BI42" s="34">
        <v>47398</v>
      </c>
      <c r="BJ42" s="34">
        <v>33065</v>
      </c>
      <c r="BK42" s="34">
        <v>33651</v>
      </c>
      <c r="BL42" s="34">
        <v>32841</v>
      </c>
    </row>
    <row r="43" spans="1:64" ht="14.15" customHeight="1" x14ac:dyDescent="0.35">
      <c r="A43" s="28" t="s">
        <v>171</v>
      </c>
      <c r="B43" s="29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J43" s="22"/>
      <c r="BK43" s="22"/>
      <c r="BL43" s="22"/>
    </row>
    <row r="44" spans="1:64" ht="14.15" customHeight="1" x14ac:dyDescent="0.35">
      <c r="A44" s="31" t="s">
        <v>172</v>
      </c>
      <c r="B44" s="35">
        <v>650</v>
      </c>
      <c r="C44" s="35">
        <v>-592</v>
      </c>
      <c r="D44" s="35">
        <v>-54</v>
      </c>
      <c r="E44" s="35">
        <v>277</v>
      </c>
      <c r="F44" s="35">
        <v>2494</v>
      </c>
      <c r="G44" s="35">
        <v>2846</v>
      </c>
      <c r="H44" s="35">
        <v>3261</v>
      </c>
      <c r="I44" s="35">
        <v>-720</v>
      </c>
      <c r="J44" s="35">
        <v>590</v>
      </c>
      <c r="K44" s="35">
        <v>74</v>
      </c>
      <c r="L44" s="35">
        <v>550</v>
      </c>
      <c r="M44" s="35">
        <v>-399</v>
      </c>
      <c r="N44" s="35">
        <v>2119</v>
      </c>
      <c r="O44" s="35">
        <v>5463</v>
      </c>
      <c r="P44" s="35">
        <v>4336</v>
      </c>
      <c r="Q44" s="35">
        <v>2609</v>
      </c>
      <c r="R44" s="35">
        <v>4553</v>
      </c>
      <c r="S44" s="35">
        <v>3991</v>
      </c>
      <c r="T44" s="35">
        <v>5887</v>
      </c>
      <c r="U44" s="35">
        <v>6063</v>
      </c>
      <c r="V44" s="35">
        <v>6056</v>
      </c>
      <c r="W44" s="35">
        <v>5135</v>
      </c>
      <c r="X44" s="35">
        <v>4382</v>
      </c>
      <c r="Y44" s="35">
        <v>3054</v>
      </c>
      <c r="Z44" s="35">
        <v>934</v>
      </c>
      <c r="AA44" s="35">
        <v>-67</v>
      </c>
      <c r="AB44" s="35">
        <v>4992</v>
      </c>
      <c r="AC44" s="35">
        <v>4978</v>
      </c>
      <c r="AD44" s="35">
        <v>3845</v>
      </c>
      <c r="AE44" s="35">
        <v>5362</v>
      </c>
      <c r="AF44" s="35">
        <v>4320</v>
      </c>
      <c r="AG44" s="35">
        <v>1554</v>
      </c>
      <c r="AH44" s="35">
        <v>-501</v>
      </c>
      <c r="AI44" s="35">
        <v>-1038</v>
      </c>
      <c r="AJ44" s="35">
        <v>-5025</v>
      </c>
      <c r="AK44" s="35">
        <v>-4006</v>
      </c>
      <c r="AL44" s="35">
        <v>-2934</v>
      </c>
      <c r="AM44" s="35">
        <v>364</v>
      </c>
      <c r="AN44" s="35">
        <v>-3335</v>
      </c>
      <c r="AO44" s="35">
        <v>-1164</v>
      </c>
      <c r="AP44" s="35">
        <v>-7015</v>
      </c>
      <c r="AQ44" s="35">
        <v>-4591</v>
      </c>
      <c r="AR44" s="35">
        <v>2659</v>
      </c>
      <c r="AS44" s="35">
        <v>-862</v>
      </c>
      <c r="AT44" s="35">
        <v>-619</v>
      </c>
      <c r="AU44" s="35">
        <v>-4986</v>
      </c>
      <c r="AV44" s="35">
        <v>17</v>
      </c>
      <c r="AW44" s="35">
        <v>99760</v>
      </c>
      <c r="AX44" s="35">
        <v>35804</v>
      </c>
      <c r="AY44" s="35">
        <v>14158</v>
      </c>
      <c r="AZ44" s="35">
        <v>-8143</v>
      </c>
      <c r="BA44" s="35">
        <v>-87854</v>
      </c>
      <c r="BB44" s="35">
        <v>-84300</v>
      </c>
      <c r="BC44" s="35">
        <v>-35658</v>
      </c>
      <c r="BD44" s="35">
        <v>-34721</v>
      </c>
      <c r="BE44" s="35">
        <v>-30081</v>
      </c>
      <c r="BF44" s="35">
        <v>-7432</v>
      </c>
      <c r="BG44" s="35">
        <v>-43544</v>
      </c>
      <c r="BH44" s="35">
        <v>-26494</v>
      </c>
      <c r="BI44" s="33">
        <v>-31758</v>
      </c>
      <c r="BJ44" s="33">
        <v>-43386</v>
      </c>
      <c r="BK44" s="33">
        <v>-22150</v>
      </c>
      <c r="BL44" s="33">
        <v>-32684</v>
      </c>
    </row>
    <row r="45" spans="1:64" ht="14.15" customHeight="1" x14ac:dyDescent="0.35">
      <c r="A45" s="31" t="s">
        <v>173</v>
      </c>
      <c r="B45" s="35">
        <v>797</v>
      </c>
      <c r="C45" s="35">
        <v>770</v>
      </c>
      <c r="D45" s="35">
        <v>578</v>
      </c>
      <c r="E45" s="35">
        <v>805</v>
      </c>
      <c r="F45" s="35">
        <v>888</v>
      </c>
      <c r="G45" s="35">
        <v>1141</v>
      </c>
      <c r="H45" s="35">
        <v>1080</v>
      </c>
      <c r="I45" s="35">
        <v>920</v>
      </c>
      <c r="J45" s="35">
        <v>1510</v>
      </c>
      <c r="K45" s="35">
        <v>2183</v>
      </c>
      <c r="L45" s="35">
        <v>1772</v>
      </c>
      <c r="M45" s="35">
        <v>1567</v>
      </c>
      <c r="N45" s="35">
        <v>2471</v>
      </c>
      <c r="O45" s="35">
        <v>2989</v>
      </c>
      <c r="P45" s="35">
        <v>2805</v>
      </c>
      <c r="Q45" s="35">
        <v>2094</v>
      </c>
      <c r="R45" s="35">
        <v>1282</v>
      </c>
      <c r="S45" s="35">
        <v>896</v>
      </c>
      <c r="T45" s="35">
        <v>1246</v>
      </c>
      <c r="U45" s="35">
        <v>1432</v>
      </c>
      <c r="V45" s="35">
        <v>154</v>
      </c>
      <c r="W45" s="35">
        <v>1111</v>
      </c>
      <c r="X45" s="35">
        <v>1239</v>
      </c>
      <c r="Y45" s="35">
        <v>1351</v>
      </c>
      <c r="Z45" s="35">
        <v>758</v>
      </c>
      <c r="AA45" s="35">
        <v>1593</v>
      </c>
      <c r="AB45" s="35">
        <v>2229</v>
      </c>
      <c r="AC45" s="35">
        <v>127</v>
      </c>
      <c r="AD45" s="35">
        <v>2116</v>
      </c>
      <c r="AE45" s="35">
        <v>1828</v>
      </c>
      <c r="AF45" s="35">
        <v>1169</v>
      </c>
      <c r="AG45" s="35">
        <v>1602</v>
      </c>
      <c r="AH45" s="35">
        <v>1233</v>
      </c>
      <c r="AI45" s="35">
        <v>-1839</v>
      </c>
      <c r="AJ45" s="35">
        <v>-58</v>
      </c>
      <c r="AK45" s="35">
        <v>77</v>
      </c>
      <c r="AL45" s="35">
        <v>303</v>
      </c>
      <c r="AM45" s="35">
        <v>1050</v>
      </c>
      <c r="AN45" s="35">
        <v>2129</v>
      </c>
      <c r="AO45" s="35">
        <v>2395</v>
      </c>
      <c r="AP45" s="35">
        <v>207</v>
      </c>
      <c r="AQ45" s="35">
        <v>-5169</v>
      </c>
      <c r="AR45" s="35">
        <v>-4070</v>
      </c>
      <c r="AS45" s="35">
        <v>-1223</v>
      </c>
      <c r="AT45" s="35">
        <v>-971</v>
      </c>
      <c r="AU45" s="35">
        <v>-3161</v>
      </c>
      <c r="AV45" s="35">
        <v>-3074</v>
      </c>
      <c r="AW45" s="35">
        <v>-978</v>
      </c>
      <c r="AX45" s="35">
        <v>-682</v>
      </c>
      <c r="AY45" s="35">
        <v>909</v>
      </c>
      <c r="AZ45" s="35">
        <v>2744</v>
      </c>
      <c r="BA45" s="35">
        <v>-1839</v>
      </c>
      <c r="BB45" s="35">
        <v>-2453</v>
      </c>
      <c r="BC45" s="35">
        <v>-1610</v>
      </c>
      <c r="BD45" s="35">
        <v>-1265</v>
      </c>
      <c r="BE45" s="35">
        <v>-2238</v>
      </c>
      <c r="BF45" s="35">
        <v>-1407</v>
      </c>
      <c r="BG45" s="35">
        <v>-1048</v>
      </c>
      <c r="BH45" s="35">
        <v>-2346</v>
      </c>
      <c r="BI45" s="33">
        <v>-2679</v>
      </c>
      <c r="BJ45" s="33">
        <v>2636</v>
      </c>
      <c r="BK45" s="33">
        <v>5819</v>
      </c>
      <c r="BL45" s="33">
        <v>3965</v>
      </c>
    </row>
    <row r="46" spans="1:64" ht="14.15" customHeight="1" x14ac:dyDescent="0.35">
      <c r="A46" s="31" t="s">
        <v>174</v>
      </c>
      <c r="B46" s="35">
        <v>-394</v>
      </c>
      <c r="C46" s="35">
        <v>-423</v>
      </c>
      <c r="D46" s="35">
        <v>-436</v>
      </c>
      <c r="E46" s="35">
        <v>-389</v>
      </c>
      <c r="F46" s="35">
        <v>-486</v>
      </c>
      <c r="G46" s="35">
        <v>-401</v>
      </c>
      <c r="H46" s="35">
        <v>-522</v>
      </c>
      <c r="I46" s="35">
        <v>-603</v>
      </c>
      <c r="J46" s="35">
        <v>-501</v>
      </c>
      <c r="K46" s="35">
        <v>-383</v>
      </c>
      <c r="L46" s="35">
        <v>-597</v>
      </c>
      <c r="M46" s="35">
        <v>-805</v>
      </c>
      <c r="N46" s="35">
        <v>-611</v>
      </c>
      <c r="O46" s="35">
        <v>511</v>
      </c>
      <c r="P46" s="35">
        <v>-573</v>
      </c>
      <c r="Q46" s="35">
        <v>-2788</v>
      </c>
      <c r="R46" s="35">
        <v>-988</v>
      </c>
      <c r="S46" s="35">
        <v>-1745</v>
      </c>
      <c r="T46" s="35">
        <v>-285</v>
      </c>
      <c r="U46" s="35">
        <v>-1371</v>
      </c>
      <c r="V46" s="35">
        <v>-2056</v>
      </c>
      <c r="W46" s="35">
        <v>-1253</v>
      </c>
      <c r="X46" s="35">
        <v>-616</v>
      </c>
      <c r="Y46" s="35">
        <v>-2198</v>
      </c>
      <c r="Z46" s="35">
        <v>1394</v>
      </c>
      <c r="AA46" s="35">
        <v>3106</v>
      </c>
      <c r="AB46" s="35">
        <v>10020</v>
      </c>
      <c r="AC46" s="35">
        <v>21996</v>
      </c>
      <c r="AD46" s="35">
        <v>57891</v>
      </c>
      <c r="AE46" s="35">
        <v>66232</v>
      </c>
      <c r="AF46" s="35">
        <v>2518</v>
      </c>
      <c r="AG46" s="35">
        <v>-27957</v>
      </c>
      <c r="AH46" s="35">
        <v>-7570</v>
      </c>
      <c r="AI46" s="35">
        <v>-17827</v>
      </c>
      <c r="AJ46" s="35">
        <v>-8394</v>
      </c>
      <c r="AK46" s="35">
        <v>-14384</v>
      </c>
      <c r="AL46" s="35">
        <v>-4371</v>
      </c>
      <c r="AM46" s="35">
        <v>-5280</v>
      </c>
      <c r="AN46" s="35">
        <v>-3053</v>
      </c>
      <c r="AO46" s="35">
        <v>-1569</v>
      </c>
      <c r="AP46" s="35">
        <v>-1026</v>
      </c>
      <c r="AQ46" s="35">
        <v>-1430</v>
      </c>
      <c r="AR46" s="35">
        <v>-1976</v>
      </c>
      <c r="AS46" s="35">
        <v>-1371</v>
      </c>
      <c r="AT46" s="35">
        <v>-1110</v>
      </c>
      <c r="AU46" s="35">
        <v>-1492</v>
      </c>
      <c r="AV46" s="35">
        <v>18760</v>
      </c>
      <c r="AW46" s="35">
        <v>22573</v>
      </c>
      <c r="AX46" s="35">
        <v>-32033</v>
      </c>
      <c r="AY46" s="35">
        <v>-8697</v>
      </c>
      <c r="AZ46" s="35">
        <v>6666</v>
      </c>
      <c r="BA46" s="35">
        <v>4292</v>
      </c>
      <c r="BB46" s="35">
        <v>-13823</v>
      </c>
      <c r="BC46" s="35">
        <v>-12812</v>
      </c>
      <c r="BD46" s="35">
        <v>-13052</v>
      </c>
      <c r="BE46" s="35">
        <v>-12098</v>
      </c>
      <c r="BF46" s="35">
        <v>-15850</v>
      </c>
      <c r="BG46" s="35">
        <v>-8035</v>
      </c>
      <c r="BH46" s="35">
        <v>-7238</v>
      </c>
      <c r="BI46" s="33">
        <v>-9025</v>
      </c>
      <c r="BJ46" s="33">
        <v>-11525</v>
      </c>
      <c r="BK46" s="33">
        <v>91205</v>
      </c>
      <c r="BL46" s="33">
        <v>36291</v>
      </c>
    </row>
    <row r="47" spans="1:64" ht="14.15" customHeight="1" x14ac:dyDescent="0.35">
      <c r="A47" s="31" t="s">
        <v>175</v>
      </c>
      <c r="B47" s="35">
        <v>371</v>
      </c>
      <c r="C47" s="35">
        <v>307</v>
      </c>
      <c r="D47" s="35">
        <v>331</v>
      </c>
      <c r="E47" s="35">
        <v>465</v>
      </c>
      <c r="F47" s="35">
        <v>348</v>
      </c>
      <c r="G47" s="35">
        <v>394</v>
      </c>
      <c r="H47" s="35">
        <v>462</v>
      </c>
      <c r="I47" s="35">
        <v>284</v>
      </c>
      <c r="J47" s="35">
        <v>513</v>
      </c>
      <c r="K47" s="35">
        <v>492</v>
      </c>
      <c r="L47" s="35">
        <v>497</v>
      </c>
      <c r="M47" s="35">
        <v>568</v>
      </c>
      <c r="N47" s="35">
        <v>726</v>
      </c>
      <c r="O47" s="35">
        <v>984</v>
      </c>
      <c r="P47" s="35">
        <v>1051</v>
      </c>
      <c r="Q47" s="35">
        <v>1178</v>
      </c>
      <c r="R47" s="35">
        <v>1406</v>
      </c>
      <c r="S47" s="35">
        <v>1545</v>
      </c>
      <c r="T47" s="35">
        <v>2542</v>
      </c>
      <c r="U47" s="35">
        <v>2083</v>
      </c>
      <c r="V47" s="35">
        <v>2101</v>
      </c>
      <c r="W47" s="35">
        <v>1688</v>
      </c>
      <c r="X47" s="35">
        <v>1954</v>
      </c>
      <c r="Y47" s="35">
        <v>2130</v>
      </c>
      <c r="Z47" s="35">
        <v>1973</v>
      </c>
      <c r="AA47" s="35">
        <v>1802</v>
      </c>
      <c r="AB47" s="35">
        <v>1922</v>
      </c>
      <c r="AC47" s="35">
        <v>2608</v>
      </c>
      <c r="AD47" s="35">
        <v>3747</v>
      </c>
      <c r="AE47" s="35">
        <v>2848</v>
      </c>
      <c r="AF47" s="35">
        <v>2911</v>
      </c>
      <c r="AG47" s="35">
        <v>2949</v>
      </c>
      <c r="AH47" s="35">
        <v>2609</v>
      </c>
      <c r="AI47" s="35">
        <v>2896</v>
      </c>
      <c r="AJ47" s="35">
        <v>2999</v>
      </c>
      <c r="AK47" s="35">
        <v>3673</v>
      </c>
      <c r="AL47" s="35">
        <v>8009</v>
      </c>
      <c r="AM47" s="35">
        <v>6507</v>
      </c>
      <c r="AN47" s="35">
        <v>7466</v>
      </c>
      <c r="AO47" s="35">
        <v>6069</v>
      </c>
      <c r="AP47" s="35">
        <v>7427</v>
      </c>
      <c r="AQ47" s="35">
        <v>11917</v>
      </c>
      <c r="AR47" s="35">
        <v>8652</v>
      </c>
      <c r="AS47" s="35">
        <v>11022</v>
      </c>
      <c r="AT47" s="35">
        <v>8887</v>
      </c>
      <c r="AU47" s="35">
        <v>10126</v>
      </c>
      <c r="AV47" s="35">
        <v>12167</v>
      </c>
      <c r="AW47" s="35">
        <v>170180</v>
      </c>
      <c r="AX47" s="35">
        <v>-85405</v>
      </c>
      <c r="AY47" s="35">
        <v>-18934</v>
      </c>
      <c r="AZ47" s="35">
        <v>39380</v>
      </c>
      <c r="BA47" s="35">
        <v>2203</v>
      </c>
      <c r="BB47" s="35">
        <v>5715</v>
      </c>
      <c r="BC47" s="35">
        <v>12175</v>
      </c>
      <c r="BD47" s="35">
        <v>14961</v>
      </c>
      <c r="BE47" s="35">
        <v>17732</v>
      </c>
      <c r="BF47" s="35">
        <v>15219</v>
      </c>
      <c r="BG47" s="35">
        <v>26912</v>
      </c>
      <c r="BH47" s="35">
        <v>608149</v>
      </c>
      <c r="BI47" s="33">
        <v>351309</v>
      </c>
      <c r="BJ47" s="33">
        <v>33200</v>
      </c>
      <c r="BK47" s="33">
        <v>25891</v>
      </c>
      <c r="BL47" s="33">
        <v>28460</v>
      </c>
    </row>
    <row r="48" spans="1:64" ht="14.15" customHeight="1" x14ac:dyDescent="0.35">
      <c r="A48" s="31" t="s">
        <v>176</v>
      </c>
      <c r="B48" s="36">
        <v>1424</v>
      </c>
      <c r="C48" s="36">
        <v>62</v>
      </c>
      <c r="D48" s="36">
        <v>418</v>
      </c>
      <c r="E48" s="36">
        <v>1157</v>
      </c>
      <c r="F48" s="36">
        <v>3245</v>
      </c>
      <c r="G48" s="36">
        <v>3979</v>
      </c>
      <c r="H48" s="36">
        <v>4280</v>
      </c>
      <c r="I48" s="36">
        <v>-119</v>
      </c>
      <c r="J48" s="36">
        <v>2112</v>
      </c>
      <c r="K48" s="36">
        <v>2366</v>
      </c>
      <c r="L48" s="36">
        <v>2222</v>
      </c>
      <c r="M48" s="36">
        <v>931</v>
      </c>
      <c r="N48" s="36">
        <v>4705</v>
      </c>
      <c r="O48" s="36">
        <v>9947</v>
      </c>
      <c r="P48" s="36">
        <v>7619</v>
      </c>
      <c r="Q48" s="36">
        <v>3093</v>
      </c>
      <c r="R48" s="36">
        <v>6254</v>
      </c>
      <c r="S48" s="36">
        <v>4686</v>
      </c>
      <c r="T48" s="36">
        <v>9390</v>
      </c>
      <c r="U48" s="36">
        <v>8206</v>
      </c>
      <c r="V48" s="36">
        <v>6256</v>
      </c>
      <c r="W48" s="36">
        <v>6681</v>
      </c>
      <c r="X48" s="36">
        <v>6959</v>
      </c>
      <c r="Y48" s="36">
        <v>4337</v>
      </c>
      <c r="Z48" s="36">
        <v>5058</v>
      </c>
      <c r="AA48" s="36">
        <v>6434</v>
      </c>
      <c r="AB48" s="36">
        <v>19163</v>
      </c>
      <c r="AC48" s="36">
        <v>29709</v>
      </c>
      <c r="AD48" s="36">
        <v>67599</v>
      </c>
      <c r="AE48" s="36">
        <v>76270</v>
      </c>
      <c r="AF48" s="36">
        <v>10918</v>
      </c>
      <c r="AG48" s="36">
        <v>-21853</v>
      </c>
      <c r="AH48" s="36">
        <v>-4228</v>
      </c>
      <c r="AI48" s="36">
        <v>-17808</v>
      </c>
      <c r="AJ48" s="36">
        <v>-10478</v>
      </c>
      <c r="AK48" s="36">
        <v>-14640</v>
      </c>
      <c r="AL48" s="36">
        <v>1007</v>
      </c>
      <c r="AM48" s="36">
        <v>2641</v>
      </c>
      <c r="AN48" s="36">
        <v>3207</v>
      </c>
      <c r="AO48" s="36">
        <v>5731</v>
      </c>
      <c r="AP48" s="36">
        <v>-407</v>
      </c>
      <c r="AQ48" s="36">
        <v>727</v>
      </c>
      <c r="AR48" s="36">
        <v>5265</v>
      </c>
      <c r="AS48" s="36">
        <v>7566</v>
      </c>
      <c r="AT48" s="36">
        <v>6187</v>
      </c>
      <c r="AU48" s="36">
        <v>487</v>
      </c>
      <c r="AV48" s="36">
        <v>27870</v>
      </c>
      <c r="AW48" s="36">
        <v>291535</v>
      </c>
      <c r="AX48" s="36">
        <v>-82316</v>
      </c>
      <c r="AY48" s="36">
        <v>-12564</v>
      </c>
      <c r="AZ48" s="36">
        <v>40647</v>
      </c>
      <c r="BA48" s="36">
        <v>-83198</v>
      </c>
      <c r="BB48" s="36">
        <v>-94861</v>
      </c>
      <c r="BC48" s="36">
        <v>-37905</v>
      </c>
      <c r="BD48" s="36">
        <v>-34077</v>
      </c>
      <c r="BE48" s="36">
        <v>-26685</v>
      </c>
      <c r="BF48" s="36">
        <v>-9470</v>
      </c>
      <c r="BG48" s="36">
        <v>-25715</v>
      </c>
      <c r="BH48" s="36">
        <v>572071</v>
      </c>
      <c r="BI48" s="34">
        <v>307847</v>
      </c>
      <c r="BJ48" s="34">
        <v>-19075</v>
      </c>
      <c r="BK48" s="34">
        <v>100765</v>
      </c>
      <c r="BL48" s="34">
        <v>36032</v>
      </c>
    </row>
    <row r="49" spans="1:64" ht="14.15" customHeight="1" x14ac:dyDescent="0.35">
      <c r="A49" s="28" t="s">
        <v>177</v>
      </c>
      <c r="B49" s="29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J49" s="22"/>
      <c r="BK49" s="22"/>
      <c r="BL49" s="22"/>
    </row>
    <row r="50" spans="1:64" ht="14.15" customHeight="1" x14ac:dyDescent="0.35">
      <c r="A50" s="31" t="s">
        <v>178</v>
      </c>
      <c r="B50" s="35">
        <v>2855</v>
      </c>
      <c r="C50" s="35">
        <v>3090</v>
      </c>
      <c r="D50" s="35">
        <v>3715</v>
      </c>
      <c r="E50" s="35">
        <v>4105</v>
      </c>
      <c r="F50" s="35">
        <v>4072</v>
      </c>
      <c r="G50" s="35">
        <v>4139</v>
      </c>
      <c r="H50" s="35">
        <v>4378</v>
      </c>
      <c r="I50" s="35">
        <v>4443</v>
      </c>
      <c r="J50" s="35">
        <v>4678</v>
      </c>
      <c r="K50" s="35">
        <v>5182</v>
      </c>
      <c r="L50" s="35">
        <v>5356</v>
      </c>
      <c r="M50" s="35">
        <v>5641</v>
      </c>
      <c r="N50" s="35">
        <v>5583</v>
      </c>
      <c r="O50" s="35">
        <v>7027</v>
      </c>
      <c r="P50" s="35">
        <v>9602</v>
      </c>
      <c r="Q50" s="35">
        <v>10226</v>
      </c>
      <c r="R50" s="35">
        <v>10431</v>
      </c>
      <c r="S50" s="35">
        <v>12662</v>
      </c>
      <c r="T50" s="35">
        <v>15274</v>
      </c>
      <c r="U50" s="35">
        <v>17074</v>
      </c>
      <c r="V50" s="35">
        <v>14321</v>
      </c>
      <c r="W50" s="35">
        <v>14265</v>
      </c>
      <c r="X50" s="35">
        <v>16158</v>
      </c>
      <c r="Y50" s="35">
        <v>17606</v>
      </c>
      <c r="Z50" s="35">
        <v>18725</v>
      </c>
      <c r="AA50" s="35">
        <v>17150</v>
      </c>
      <c r="AB50" s="35">
        <v>18148</v>
      </c>
      <c r="AC50" s="35">
        <v>17946</v>
      </c>
      <c r="AD50" s="35">
        <v>18954</v>
      </c>
      <c r="AE50" s="35">
        <v>19545</v>
      </c>
      <c r="AF50" s="35">
        <v>20347</v>
      </c>
      <c r="AG50" s="35">
        <v>21251</v>
      </c>
      <c r="AH50" s="35">
        <v>23940</v>
      </c>
      <c r="AI50" s="35">
        <v>25297</v>
      </c>
      <c r="AJ50" s="35">
        <v>25650</v>
      </c>
      <c r="AK50" s="35">
        <v>26795</v>
      </c>
      <c r="AL50" s="35">
        <v>26004</v>
      </c>
      <c r="AM50" s="35">
        <v>28052</v>
      </c>
      <c r="AN50" s="35">
        <v>31697</v>
      </c>
      <c r="AO50" s="35">
        <v>35804</v>
      </c>
      <c r="AP50" s="35">
        <v>40158</v>
      </c>
      <c r="AQ50" s="35">
        <v>37491</v>
      </c>
      <c r="AR50" s="35">
        <v>40744</v>
      </c>
      <c r="AS50" s="35">
        <v>42317</v>
      </c>
      <c r="AT50" s="35">
        <v>45209</v>
      </c>
      <c r="AU50" s="35">
        <v>46818</v>
      </c>
      <c r="AV50" s="35">
        <v>49978</v>
      </c>
      <c r="AW50" s="35">
        <v>54103</v>
      </c>
      <c r="AX50" s="35">
        <v>60784</v>
      </c>
      <c r="AY50" s="35">
        <v>60902</v>
      </c>
      <c r="AZ50" s="35">
        <v>61308</v>
      </c>
      <c r="BA50" s="35">
        <v>60005</v>
      </c>
      <c r="BB50" s="35">
        <v>60827</v>
      </c>
      <c r="BC50" s="35">
        <v>59126</v>
      </c>
      <c r="BD50" s="35">
        <v>62136</v>
      </c>
      <c r="BE50" s="35">
        <v>62854</v>
      </c>
      <c r="BF50" s="35">
        <v>61868</v>
      </c>
      <c r="BG50" s="35">
        <v>63079</v>
      </c>
      <c r="BH50" s="35">
        <v>78945</v>
      </c>
      <c r="BI50" s="33">
        <v>81631</v>
      </c>
      <c r="BJ50" s="33">
        <v>89901</v>
      </c>
      <c r="BK50" s="33">
        <v>84228</v>
      </c>
      <c r="BL50" s="33">
        <v>92852</v>
      </c>
    </row>
    <row r="51" spans="1:64" ht="14.15" customHeight="1" x14ac:dyDescent="0.35">
      <c r="A51" s="31" t="s">
        <v>179</v>
      </c>
      <c r="B51" s="35">
        <v>818</v>
      </c>
      <c r="C51" s="35">
        <v>851</v>
      </c>
      <c r="D51" s="35">
        <v>882</v>
      </c>
      <c r="E51" s="35">
        <v>941</v>
      </c>
      <c r="F51" s="35">
        <v>961</v>
      </c>
      <c r="G51" s="35">
        <v>1042</v>
      </c>
      <c r="H51" s="35">
        <v>1084</v>
      </c>
      <c r="I51" s="35">
        <v>1206</v>
      </c>
      <c r="J51" s="35">
        <v>1408</v>
      </c>
      <c r="K51" s="35">
        <v>1807</v>
      </c>
      <c r="L51" s="35">
        <v>1907</v>
      </c>
      <c r="M51" s="35">
        <v>2159</v>
      </c>
      <c r="N51" s="35">
        <v>2216</v>
      </c>
      <c r="O51" s="35">
        <v>2387</v>
      </c>
      <c r="P51" s="35">
        <v>2531</v>
      </c>
      <c r="Q51" s="35">
        <v>2786</v>
      </c>
      <c r="R51" s="35">
        <v>3243</v>
      </c>
      <c r="S51" s="35">
        <v>3355</v>
      </c>
      <c r="T51" s="35">
        <v>3723</v>
      </c>
      <c r="U51" s="35">
        <v>3814</v>
      </c>
      <c r="V51" s="35">
        <v>3526</v>
      </c>
      <c r="W51" s="35">
        <v>4000</v>
      </c>
      <c r="X51" s="35">
        <v>4415</v>
      </c>
      <c r="Y51" s="35">
        <v>4895</v>
      </c>
      <c r="Z51" s="35">
        <v>5287</v>
      </c>
      <c r="AA51" s="35">
        <v>5520</v>
      </c>
      <c r="AB51" s="35">
        <v>5897</v>
      </c>
      <c r="AC51" s="35">
        <v>6622</v>
      </c>
      <c r="AD51" s="35">
        <v>7234</v>
      </c>
      <c r="AE51" s="35">
        <v>8184</v>
      </c>
      <c r="AF51" s="35">
        <v>9313</v>
      </c>
      <c r="AG51" s="35">
        <v>10049</v>
      </c>
      <c r="AH51" s="35">
        <v>10146</v>
      </c>
      <c r="AI51" s="35">
        <v>10020</v>
      </c>
      <c r="AJ51" s="35">
        <v>10135</v>
      </c>
      <c r="AK51" s="35">
        <v>10138</v>
      </c>
      <c r="AL51" s="35">
        <v>10622</v>
      </c>
      <c r="AM51" s="35">
        <v>10720</v>
      </c>
      <c r="AN51" s="35">
        <v>10571</v>
      </c>
      <c r="AO51" s="35">
        <v>13975</v>
      </c>
      <c r="AP51" s="35">
        <v>16538</v>
      </c>
      <c r="AQ51" s="35">
        <v>23343</v>
      </c>
      <c r="AR51" s="35">
        <v>16743</v>
      </c>
      <c r="AS51" s="35">
        <v>18807</v>
      </c>
      <c r="AT51" s="35">
        <v>18005</v>
      </c>
      <c r="AU51" s="35">
        <v>18096</v>
      </c>
      <c r="AV51" s="35">
        <v>19399</v>
      </c>
      <c r="AW51" s="35">
        <v>20799</v>
      </c>
      <c r="AX51" s="35">
        <v>21431</v>
      </c>
      <c r="AY51" s="35">
        <v>21353</v>
      </c>
      <c r="AZ51" s="35">
        <v>21725</v>
      </c>
      <c r="BA51" s="35">
        <v>21464</v>
      </c>
      <c r="BB51" s="35">
        <v>20923</v>
      </c>
      <c r="BC51" s="35">
        <v>20033</v>
      </c>
      <c r="BD51" s="35">
        <v>20028</v>
      </c>
      <c r="BE51" s="35">
        <v>20251</v>
      </c>
      <c r="BF51" s="35">
        <v>20213</v>
      </c>
      <c r="BG51" s="35">
        <v>21249</v>
      </c>
      <c r="BH51" s="35">
        <v>55075</v>
      </c>
      <c r="BI51" s="33">
        <v>59890</v>
      </c>
      <c r="BJ51" s="33">
        <v>28397</v>
      </c>
      <c r="BK51" s="33">
        <v>29165</v>
      </c>
      <c r="BL51" s="33">
        <v>29783</v>
      </c>
    </row>
    <row r="52" spans="1:64" ht="14.15" customHeight="1" x14ac:dyDescent="0.35">
      <c r="A52" s="31" t="s">
        <v>180</v>
      </c>
      <c r="B52" s="35">
        <v>617</v>
      </c>
      <c r="C52" s="35">
        <v>655</v>
      </c>
      <c r="D52" s="35">
        <v>646</v>
      </c>
      <c r="E52" s="35">
        <v>717</v>
      </c>
      <c r="F52" s="35">
        <v>695</v>
      </c>
      <c r="G52" s="35">
        <v>749</v>
      </c>
      <c r="H52" s="35">
        <v>841</v>
      </c>
      <c r="I52" s="35">
        <v>857</v>
      </c>
      <c r="J52" s="35">
        <v>895</v>
      </c>
      <c r="K52" s="35">
        <v>1027</v>
      </c>
      <c r="L52" s="35">
        <v>1094</v>
      </c>
      <c r="M52" s="35">
        <v>1211</v>
      </c>
      <c r="N52" s="35">
        <v>1316</v>
      </c>
      <c r="O52" s="35">
        <v>1430</v>
      </c>
      <c r="P52" s="35">
        <v>1542</v>
      </c>
      <c r="Q52" s="35">
        <v>1741</v>
      </c>
      <c r="R52" s="35">
        <v>1787</v>
      </c>
      <c r="S52" s="35">
        <v>1969</v>
      </c>
      <c r="T52" s="35">
        <v>2229</v>
      </c>
      <c r="U52" s="35">
        <v>2381</v>
      </c>
      <c r="V52" s="35">
        <v>2687</v>
      </c>
      <c r="W52" s="35">
        <v>2969</v>
      </c>
      <c r="X52" s="35">
        <v>3010</v>
      </c>
      <c r="Y52" s="35">
        <v>3201</v>
      </c>
      <c r="Z52" s="35">
        <v>3964</v>
      </c>
      <c r="AA52" s="35">
        <v>3461</v>
      </c>
      <c r="AB52" s="35">
        <v>3111</v>
      </c>
      <c r="AC52" s="35">
        <v>2916</v>
      </c>
      <c r="AD52" s="35">
        <v>3151</v>
      </c>
      <c r="AE52" s="35">
        <v>3148</v>
      </c>
      <c r="AF52" s="35">
        <v>3429</v>
      </c>
      <c r="AG52" s="35">
        <v>3423</v>
      </c>
      <c r="AH52" s="35">
        <v>3648</v>
      </c>
      <c r="AI52" s="35">
        <v>3732</v>
      </c>
      <c r="AJ52" s="35">
        <v>3460</v>
      </c>
      <c r="AK52" s="35">
        <v>3554</v>
      </c>
      <c r="AL52" s="35">
        <v>3518</v>
      </c>
      <c r="AM52" s="35">
        <v>3546</v>
      </c>
      <c r="AN52" s="35">
        <v>4394</v>
      </c>
      <c r="AO52" s="35">
        <v>4401</v>
      </c>
      <c r="AP52" s="35">
        <v>5041</v>
      </c>
      <c r="AQ52" s="35">
        <v>5907</v>
      </c>
      <c r="AR52" s="35">
        <v>6898</v>
      </c>
      <c r="AS52" s="35">
        <v>6439</v>
      </c>
      <c r="AT52" s="35">
        <v>6688</v>
      </c>
      <c r="AU52" s="35">
        <v>7695</v>
      </c>
      <c r="AV52" s="35">
        <v>8121</v>
      </c>
      <c r="AW52" s="35">
        <v>9093</v>
      </c>
      <c r="AX52" s="35">
        <v>9351</v>
      </c>
      <c r="AY52" s="35">
        <v>10359</v>
      </c>
      <c r="AZ52" s="35">
        <v>9650</v>
      </c>
      <c r="BA52" s="35">
        <v>9774</v>
      </c>
      <c r="BB52" s="35">
        <v>9759</v>
      </c>
      <c r="BC52" s="35">
        <v>9994</v>
      </c>
      <c r="BD52" s="35">
        <v>10064</v>
      </c>
      <c r="BE52" s="35">
        <v>10056</v>
      </c>
      <c r="BF52" s="35">
        <v>10195</v>
      </c>
      <c r="BG52" s="35">
        <v>11010</v>
      </c>
      <c r="BH52" s="35">
        <v>11151</v>
      </c>
      <c r="BI52" s="33">
        <v>12255</v>
      </c>
      <c r="BJ52" s="33">
        <v>12260</v>
      </c>
      <c r="BK52" s="33">
        <v>12496</v>
      </c>
      <c r="BL52" s="33">
        <v>13247</v>
      </c>
    </row>
    <row r="53" spans="1:64" ht="14.15" customHeight="1" x14ac:dyDescent="0.35">
      <c r="A53" s="31" t="s">
        <v>181</v>
      </c>
      <c r="B53" s="35" t="s">
        <v>156</v>
      </c>
      <c r="C53" s="35" t="s">
        <v>156</v>
      </c>
      <c r="D53" s="35" t="s">
        <v>156</v>
      </c>
      <c r="E53" s="35" t="s">
        <v>156</v>
      </c>
      <c r="F53" s="35">
        <v>3</v>
      </c>
      <c r="G53" s="35">
        <v>6</v>
      </c>
      <c r="H53" s="35">
        <v>13</v>
      </c>
      <c r="I53" s="35">
        <v>21</v>
      </c>
      <c r="J53" s="35">
        <v>26</v>
      </c>
      <c r="K53" s="35">
        <v>37</v>
      </c>
      <c r="L53" s="35">
        <v>36</v>
      </c>
      <c r="M53" s="35">
        <v>56</v>
      </c>
      <c r="N53" s="35">
        <v>57</v>
      </c>
      <c r="O53" s="35">
        <v>74</v>
      </c>
      <c r="P53" s="35">
        <v>65</v>
      </c>
      <c r="Q53" s="35">
        <v>76</v>
      </c>
      <c r="R53" s="35">
        <v>61</v>
      </c>
      <c r="S53" s="35">
        <v>93</v>
      </c>
      <c r="T53" s="35">
        <v>104</v>
      </c>
      <c r="U53" s="35">
        <v>110</v>
      </c>
      <c r="V53" s="35">
        <v>90</v>
      </c>
      <c r="W53" s="35">
        <v>99</v>
      </c>
      <c r="X53" s="35">
        <v>85</v>
      </c>
      <c r="Y53" s="35">
        <v>137</v>
      </c>
      <c r="Z53" s="35">
        <v>136</v>
      </c>
      <c r="AA53" s="35">
        <v>91</v>
      </c>
      <c r="AB53" s="35">
        <v>116</v>
      </c>
      <c r="AC53" s="35">
        <v>124</v>
      </c>
      <c r="AD53" s="35">
        <v>146</v>
      </c>
      <c r="AE53" s="35">
        <v>223</v>
      </c>
      <c r="AF53" s="35">
        <v>244</v>
      </c>
      <c r="AG53" s="35">
        <v>281</v>
      </c>
      <c r="AH53" s="35">
        <v>333</v>
      </c>
      <c r="AI53" s="35">
        <v>301</v>
      </c>
      <c r="AJ53" s="35">
        <v>320</v>
      </c>
      <c r="AK53" s="35">
        <v>280</v>
      </c>
      <c r="AL53" s="35">
        <v>199</v>
      </c>
      <c r="AM53" s="35">
        <v>214</v>
      </c>
      <c r="AN53" s="35">
        <v>191</v>
      </c>
      <c r="AO53" s="35">
        <v>267</v>
      </c>
      <c r="AP53" s="35">
        <v>96</v>
      </c>
      <c r="AQ53" s="35">
        <v>328</v>
      </c>
      <c r="AR53" s="35">
        <v>242</v>
      </c>
      <c r="AS53" s="35">
        <v>331</v>
      </c>
      <c r="AT53" s="35">
        <v>342</v>
      </c>
      <c r="AU53" s="35">
        <v>296</v>
      </c>
      <c r="AV53" s="35">
        <v>118</v>
      </c>
      <c r="AW53" s="35">
        <v>294</v>
      </c>
      <c r="AX53" s="35">
        <v>406</v>
      </c>
      <c r="AY53" s="35">
        <v>352</v>
      </c>
      <c r="AZ53" s="35">
        <v>336</v>
      </c>
      <c r="BA53" s="35">
        <v>430</v>
      </c>
      <c r="BB53" s="35">
        <v>406</v>
      </c>
      <c r="BC53" s="35">
        <v>380</v>
      </c>
      <c r="BD53" s="35">
        <v>338</v>
      </c>
      <c r="BE53" s="35">
        <v>391</v>
      </c>
      <c r="BF53" s="35">
        <v>509</v>
      </c>
      <c r="BG53" s="35">
        <v>418</v>
      </c>
      <c r="BH53" s="35">
        <v>452</v>
      </c>
      <c r="BI53" s="33">
        <v>515</v>
      </c>
      <c r="BJ53" s="33">
        <v>466</v>
      </c>
      <c r="BK53" s="33">
        <v>528</v>
      </c>
      <c r="BL53" s="33">
        <v>700</v>
      </c>
    </row>
    <row r="54" spans="1:64" ht="14.15" customHeight="1" x14ac:dyDescent="0.35">
      <c r="A54" s="31" t="s">
        <v>182</v>
      </c>
      <c r="B54" s="36">
        <v>4290</v>
      </c>
      <c r="C54" s="36">
        <v>4596</v>
      </c>
      <c r="D54" s="36">
        <v>5242</v>
      </c>
      <c r="E54" s="36">
        <v>5763</v>
      </c>
      <c r="F54" s="36">
        <v>5730</v>
      </c>
      <c r="G54" s="36">
        <v>5936</v>
      </c>
      <c r="H54" s="36">
        <v>6316</v>
      </c>
      <c r="I54" s="36">
        <v>6526</v>
      </c>
      <c r="J54" s="36">
        <v>7008</v>
      </c>
      <c r="K54" s="36">
        <v>8052</v>
      </c>
      <c r="L54" s="36">
        <v>8392</v>
      </c>
      <c r="M54" s="36">
        <v>9066</v>
      </c>
      <c r="N54" s="36">
        <v>9172</v>
      </c>
      <c r="O54" s="36">
        <v>10918</v>
      </c>
      <c r="P54" s="36">
        <v>13739</v>
      </c>
      <c r="Q54" s="36">
        <v>14829</v>
      </c>
      <c r="R54" s="36">
        <v>15521</v>
      </c>
      <c r="S54" s="36">
        <v>18079</v>
      </c>
      <c r="T54" s="36">
        <v>21329</v>
      </c>
      <c r="U54" s="36">
        <v>23379</v>
      </c>
      <c r="V54" s="36">
        <v>20625</v>
      </c>
      <c r="W54" s="36">
        <v>21334</v>
      </c>
      <c r="X54" s="36">
        <v>23669</v>
      </c>
      <c r="Y54" s="36">
        <v>25838</v>
      </c>
      <c r="Z54" s="36">
        <v>28113</v>
      </c>
      <c r="AA54" s="36">
        <v>26222</v>
      </c>
      <c r="AB54" s="36">
        <v>27272</v>
      </c>
      <c r="AC54" s="36">
        <v>27608</v>
      </c>
      <c r="AD54" s="36">
        <v>29485</v>
      </c>
      <c r="AE54" s="36">
        <v>31099</v>
      </c>
      <c r="AF54" s="36">
        <v>33332</v>
      </c>
      <c r="AG54" s="36">
        <v>35004</v>
      </c>
      <c r="AH54" s="36">
        <v>38066</v>
      </c>
      <c r="AI54" s="36">
        <v>39350</v>
      </c>
      <c r="AJ54" s="36">
        <v>39565</v>
      </c>
      <c r="AK54" s="36">
        <v>40767</v>
      </c>
      <c r="AL54" s="36">
        <v>40343</v>
      </c>
      <c r="AM54" s="36">
        <v>42532</v>
      </c>
      <c r="AN54" s="36">
        <v>46853</v>
      </c>
      <c r="AO54" s="36">
        <v>54447</v>
      </c>
      <c r="AP54" s="36">
        <v>61833</v>
      </c>
      <c r="AQ54" s="36">
        <v>67069</v>
      </c>
      <c r="AR54" s="36">
        <v>64627</v>
      </c>
      <c r="AS54" s="36">
        <v>67894</v>
      </c>
      <c r="AT54" s="36">
        <v>70244</v>
      </c>
      <c r="AU54" s="36">
        <v>72905</v>
      </c>
      <c r="AV54" s="36">
        <v>77616</v>
      </c>
      <c r="AW54" s="36">
        <v>84289</v>
      </c>
      <c r="AX54" s="36">
        <v>91972</v>
      </c>
      <c r="AY54" s="36">
        <v>92966</v>
      </c>
      <c r="AZ54" s="36">
        <v>93019</v>
      </c>
      <c r="BA54" s="36">
        <v>91673</v>
      </c>
      <c r="BB54" s="36">
        <v>91915</v>
      </c>
      <c r="BC54" s="36">
        <v>89533</v>
      </c>
      <c r="BD54" s="36">
        <v>92566</v>
      </c>
      <c r="BE54" s="36">
        <v>93552</v>
      </c>
      <c r="BF54" s="36">
        <v>92785</v>
      </c>
      <c r="BG54" s="36">
        <v>95756</v>
      </c>
      <c r="BH54" s="36">
        <v>145623</v>
      </c>
      <c r="BI54" s="34">
        <v>154291</v>
      </c>
      <c r="BJ54" s="34">
        <v>131024</v>
      </c>
      <c r="BK54" s="34">
        <v>126417</v>
      </c>
      <c r="BL54" s="34">
        <v>136582</v>
      </c>
    </row>
    <row r="55" spans="1:64" ht="14.15" customHeight="1" x14ac:dyDescent="0.35">
      <c r="A55" s="28" t="s">
        <v>183</v>
      </c>
      <c r="B55" s="29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J55" s="22"/>
      <c r="BK55" s="22"/>
      <c r="BL55" s="22"/>
    </row>
    <row r="56" spans="1:64" ht="14.15" customHeight="1" x14ac:dyDescent="0.35">
      <c r="A56" s="31" t="s">
        <v>184</v>
      </c>
      <c r="B56" s="35">
        <v>266</v>
      </c>
      <c r="C56" s="35">
        <v>233</v>
      </c>
      <c r="D56" s="35">
        <v>316</v>
      </c>
      <c r="E56" s="35">
        <v>413</v>
      </c>
      <c r="F56" s="35">
        <v>423</v>
      </c>
      <c r="G56" s="35">
        <v>580</v>
      </c>
      <c r="H56" s="35">
        <v>649</v>
      </c>
      <c r="I56" s="35">
        <v>833</v>
      </c>
      <c r="J56" s="35">
        <v>1449</v>
      </c>
      <c r="K56" s="35">
        <v>1728</v>
      </c>
      <c r="L56" s="35">
        <v>2100</v>
      </c>
      <c r="M56" s="35">
        <v>2044</v>
      </c>
      <c r="N56" s="35">
        <v>2108</v>
      </c>
      <c r="O56" s="35">
        <v>2318</v>
      </c>
      <c r="P56" s="35">
        <v>2772</v>
      </c>
      <c r="Q56" s="35">
        <v>3411</v>
      </c>
      <c r="R56" s="35">
        <v>3298</v>
      </c>
      <c r="S56" s="35">
        <v>4000</v>
      </c>
      <c r="T56" s="35">
        <v>4907</v>
      </c>
      <c r="U56" s="35">
        <v>5070</v>
      </c>
      <c r="V56" s="35">
        <v>4608</v>
      </c>
      <c r="W56" s="35">
        <v>4353</v>
      </c>
      <c r="X56" s="35">
        <v>4520</v>
      </c>
      <c r="Y56" s="35">
        <v>4598</v>
      </c>
      <c r="Z56" s="35">
        <v>4094</v>
      </c>
      <c r="AA56" s="35">
        <v>3679</v>
      </c>
      <c r="AB56" s="35">
        <v>3448</v>
      </c>
      <c r="AC56" s="35">
        <v>3693</v>
      </c>
      <c r="AD56" s="35">
        <v>3530</v>
      </c>
      <c r="AE56" s="35">
        <v>3543</v>
      </c>
      <c r="AF56" s="35">
        <v>3643</v>
      </c>
      <c r="AG56" s="35">
        <v>3681</v>
      </c>
      <c r="AH56" s="35">
        <v>4133</v>
      </c>
      <c r="AI56" s="35">
        <v>4744</v>
      </c>
      <c r="AJ56" s="35">
        <v>4860</v>
      </c>
      <c r="AK56" s="35">
        <v>4962</v>
      </c>
      <c r="AL56" s="35">
        <v>5118</v>
      </c>
      <c r="AM56" s="35">
        <v>5116</v>
      </c>
      <c r="AN56" s="35">
        <v>5480</v>
      </c>
      <c r="AO56" s="35">
        <v>5313</v>
      </c>
      <c r="AP56" s="35">
        <v>5998</v>
      </c>
      <c r="AQ56" s="35">
        <v>6346</v>
      </c>
      <c r="AR56" s="35">
        <v>6167</v>
      </c>
      <c r="AS56" s="35">
        <v>5861</v>
      </c>
      <c r="AT56" s="35">
        <v>5845</v>
      </c>
      <c r="AU56" s="35">
        <v>11834</v>
      </c>
      <c r="AV56" s="35">
        <v>10198</v>
      </c>
      <c r="AW56" s="35">
        <v>7719</v>
      </c>
      <c r="AX56" s="35">
        <v>9901</v>
      </c>
      <c r="AY56" s="35">
        <v>9605</v>
      </c>
      <c r="AZ56" s="35">
        <v>8769</v>
      </c>
      <c r="BA56" s="35">
        <v>7814</v>
      </c>
      <c r="BB56" s="35">
        <v>7896</v>
      </c>
      <c r="BC56" s="35">
        <v>7817</v>
      </c>
      <c r="BD56" s="35">
        <v>7095</v>
      </c>
      <c r="BE56" s="35">
        <v>6718</v>
      </c>
      <c r="BF56" s="35">
        <v>7067</v>
      </c>
      <c r="BG56" s="35">
        <v>6321</v>
      </c>
      <c r="BH56" s="35">
        <v>6368</v>
      </c>
      <c r="BI56" s="33">
        <v>9039</v>
      </c>
      <c r="BJ56" s="33">
        <v>17040</v>
      </c>
      <c r="BK56" s="33">
        <v>11681</v>
      </c>
      <c r="BL56" s="33">
        <v>11457</v>
      </c>
    </row>
    <row r="57" spans="1:64" ht="14.15" customHeight="1" x14ac:dyDescent="0.35">
      <c r="A57" s="31" t="s">
        <v>185</v>
      </c>
      <c r="B57" s="35">
        <v>179</v>
      </c>
      <c r="C57" s="35">
        <v>307</v>
      </c>
      <c r="D57" s="35">
        <v>592</v>
      </c>
      <c r="E57" s="35">
        <v>648</v>
      </c>
      <c r="F57" s="35">
        <v>448</v>
      </c>
      <c r="G57" s="35">
        <v>450</v>
      </c>
      <c r="H57" s="35">
        <v>613</v>
      </c>
      <c r="I57" s="35">
        <v>679</v>
      </c>
      <c r="J57" s="35">
        <v>685</v>
      </c>
      <c r="K57" s="35">
        <v>835</v>
      </c>
      <c r="L57" s="35">
        <v>928</v>
      </c>
      <c r="M57" s="35">
        <v>981</v>
      </c>
      <c r="N57" s="35">
        <v>1339</v>
      </c>
      <c r="O57" s="35">
        <v>1607</v>
      </c>
      <c r="P57" s="35">
        <v>2149</v>
      </c>
      <c r="Q57" s="35">
        <v>2961</v>
      </c>
      <c r="R57" s="35">
        <v>5672</v>
      </c>
      <c r="S57" s="35">
        <v>4868</v>
      </c>
      <c r="T57" s="35">
        <v>4303</v>
      </c>
      <c r="U57" s="35">
        <v>3818</v>
      </c>
      <c r="V57" s="35">
        <v>3841</v>
      </c>
      <c r="W57" s="35">
        <v>3212</v>
      </c>
      <c r="X57" s="35">
        <v>3034</v>
      </c>
      <c r="Y57" s="35">
        <v>3113</v>
      </c>
      <c r="Z57" s="35">
        <v>2723</v>
      </c>
      <c r="AA57" s="35">
        <v>1599</v>
      </c>
      <c r="AB57" s="35">
        <v>2075</v>
      </c>
      <c r="AC57" s="35">
        <v>1894</v>
      </c>
      <c r="AD57" s="35">
        <v>2902</v>
      </c>
      <c r="AE57" s="35">
        <v>2745</v>
      </c>
      <c r="AF57" s="35">
        <v>2317</v>
      </c>
      <c r="AG57" s="35">
        <v>2541</v>
      </c>
      <c r="AH57" s="35">
        <v>2337</v>
      </c>
      <c r="AI57" s="35">
        <v>2723</v>
      </c>
      <c r="AJ57" s="35">
        <v>2727</v>
      </c>
      <c r="AK57" s="35">
        <v>2741</v>
      </c>
      <c r="AL57" s="35">
        <v>2512</v>
      </c>
      <c r="AM57" s="35">
        <v>2327</v>
      </c>
      <c r="AN57" s="35">
        <v>2538</v>
      </c>
      <c r="AO57" s="35">
        <v>2634</v>
      </c>
      <c r="AP57" s="35">
        <v>2633</v>
      </c>
      <c r="AQ57" s="35">
        <v>2397</v>
      </c>
      <c r="AR57" s="35">
        <v>2351</v>
      </c>
      <c r="AS57" s="35">
        <v>2745</v>
      </c>
      <c r="AT57" s="35">
        <v>2580</v>
      </c>
      <c r="AU57" s="35">
        <v>2514</v>
      </c>
      <c r="AV57" s="35">
        <v>2584</v>
      </c>
      <c r="AW57" s="35">
        <v>3221</v>
      </c>
      <c r="AX57" s="35">
        <v>3249</v>
      </c>
      <c r="AY57" s="35">
        <v>4050</v>
      </c>
      <c r="AZ57" s="35">
        <v>4424</v>
      </c>
      <c r="BA57" s="35">
        <v>1540</v>
      </c>
      <c r="BB57" s="35">
        <v>3027</v>
      </c>
      <c r="BC57" s="35">
        <v>3861</v>
      </c>
      <c r="BD57" s="35">
        <v>2451</v>
      </c>
      <c r="BE57" s="35">
        <v>3082</v>
      </c>
      <c r="BF57" s="35">
        <v>2842</v>
      </c>
      <c r="BG57" s="35">
        <v>3369</v>
      </c>
      <c r="BH57" s="35">
        <v>4193</v>
      </c>
      <c r="BI57" s="33">
        <v>3354</v>
      </c>
      <c r="BJ57" s="33">
        <v>6001</v>
      </c>
      <c r="BK57" s="33">
        <v>6334</v>
      </c>
      <c r="BL57" s="33">
        <v>5014</v>
      </c>
    </row>
    <row r="58" spans="1:64" ht="14.15" customHeight="1" x14ac:dyDescent="0.35">
      <c r="A58" s="31" t="s">
        <v>186</v>
      </c>
      <c r="B58" s="35">
        <v>23</v>
      </c>
      <c r="C58" s="35">
        <v>34</v>
      </c>
      <c r="D58" s="35">
        <v>25</v>
      </c>
      <c r="E58" s="35">
        <v>53</v>
      </c>
      <c r="F58" s="35">
        <v>234</v>
      </c>
      <c r="G58" s="35">
        <v>78</v>
      </c>
      <c r="H58" s="35">
        <v>120</v>
      </c>
      <c r="I58" s="35">
        <v>40</v>
      </c>
      <c r="J58" s="35">
        <v>257</v>
      </c>
      <c r="K58" s="35">
        <v>353</v>
      </c>
      <c r="L58" s="35">
        <v>396</v>
      </c>
      <c r="M58" s="35">
        <v>1580</v>
      </c>
      <c r="N58" s="35">
        <v>782</v>
      </c>
      <c r="O58" s="35">
        <v>398</v>
      </c>
      <c r="P58" s="35">
        <v>522</v>
      </c>
      <c r="Q58" s="35">
        <v>649</v>
      </c>
      <c r="R58" s="35">
        <v>2871</v>
      </c>
      <c r="S58" s="35">
        <v>1611</v>
      </c>
      <c r="T58" s="35">
        <v>2043</v>
      </c>
      <c r="U58" s="35">
        <v>1680</v>
      </c>
      <c r="V58" s="35">
        <v>-102</v>
      </c>
      <c r="W58" s="35">
        <v>-1</v>
      </c>
      <c r="X58" s="35">
        <v>119</v>
      </c>
      <c r="Y58" s="35">
        <v>-35</v>
      </c>
      <c r="Z58" s="35">
        <v>416</v>
      </c>
      <c r="AA58" s="35">
        <v>-229</v>
      </c>
      <c r="AB58" s="35">
        <v>-230</v>
      </c>
      <c r="AC58" s="35">
        <v>-226</v>
      </c>
      <c r="AD58" s="35">
        <v>2098</v>
      </c>
      <c r="AE58" s="35">
        <v>522</v>
      </c>
      <c r="AF58" s="35">
        <v>876</v>
      </c>
      <c r="AG58" s="35">
        <v>2924</v>
      </c>
      <c r="AH58" s="35">
        <v>4150</v>
      </c>
      <c r="AI58" s="35">
        <v>3279</v>
      </c>
      <c r="AJ58" s="35">
        <v>3154</v>
      </c>
      <c r="AK58" s="35">
        <v>3346</v>
      </c>
      <c r="AL58" s="35">
        <v>2141</v>
      </c>
      <c r="AM58" s="35">
        <v>4422</v>
      </c>
      <c r="AN58" s="35">
        <v>2605</v>
      </c>
      <c r="AO58" s="35">
        <v>3826</v>
      </c>
      <c r="AP58" s="35">
        <v>4350</v>
      </c>
      <c r="AQ58" s="35">
        <v>10107</v>
      </c>
      <c r="AR58" s="35">
        <v>7302</v>
      </c>
      <c r="AS58" s="35">
        <v>17656</v>
      </c>
      <c r="AT58" s="35">
        <v>46040</v>
      </c>
      <c r="AU58" s="35">
        <v>15219</v>
      </c>
      <c r="AV58" s="35">
        <v>11170</v>
      </c>
      <c r="AW58" s="35">
        <v>16736</v>
      </c>
      <c r="AX58" s="35">
        <v>10744</v>
      </c>
      <c r="AY58" s="35">
        <v>10228</v>
      </c>
      <c r="AZ58" s="35">
        <v>11939</v>
      </c>
      <c r="BA58" s="35">
        <v>22981</v>
      </c>
      <c r="BB58" s="35">
        <v>9747</v>
      </c>
      <c r="BC58" s="35">
        <v>8991</v>
      </c>
      <c r="BD58" s="35">
        <v>10594</v>
      </c>
      <c r="BE58" s="35">
        <v>15107</v>
      </c>
      <c r="BF58" s="35">
        <v>32250</v>
      </c>
      <c r="BG58" s="35">
        <v>17094</v>
      </c>
      <c r="BH58" s="35">
        <v>71317</v>
      </c>
      <c r="BI58" s="33">
        <v>32262</v>
      </c>
      <c r="BJ58" s="33">
        <v>46922</v>
      </c>
      <c r="BK58" s="33">
        <v>68538</v>
      </c>
      <c r="BL58" s="33">
        <v>68744</v>
      </c>
    </row>
    <row r="59" spans="1:64" ht="14.15" customHeight="1" x14ac:dyDescent="0.35">
      <c r="A59" s="31" t="s">
        <v>187</v>
      </c>
      <c r="B59" s="36">
        <v>469</v>
      </c>
      <c r="C59" s="36">
        <v>574</v>
      </c>
      <c r="D59" s="36">
        <v>933</v>
      </c>
      <c r="E59" s="36">
        <v>1114</v>
      </c>
      <c r="F59" s="36">
        <v>1105</v>
      </c>
      <c r="G59" s="36">
        <v>1108</v>
      </c>
      <c r="H59" s="36">
        <v>1382</v>
      </c>
      <c r="I59" s="36">
        <v>1552</v>
      </c>
      <c r="J59" s="36">
        <v>2392</v>
      </c>
      <c r="K59" s="36">
        <v>2917</v>
      </c>
      <c r="L59" s="36">
        <v>3423</v>
      </c>
      <c r="M59" s="36">
        <v>4605</v>
      </c>
      <c r="N59" s="36">
        <v>4229</v>
      </c>
      <c r="O59" s="36">
        <v>4322</v>
      </c>
      <c r="P59" s="36">
        <v>5442</v>
      </c>
      <c r="Q59" s="36">
        <v>7021</v>
      </c>
      <c r="R59" s="36">
        <v>11841</v>
      </c>
      <c r="S59" s="36">
        <v>10480</v>
      </c>
      <c r="T59" s="36">
        <v>11252</v>
      </c>
      <c r="U59" s="36">
        <v>10568</v>
      </c>
      <c r="V59" s="36">
        <v>8347</v>
      </c>
      <c r="W59" s="36">
        <v>7564</v>
      </c>
      <c r="X59" s="36">
        <v>7673</v>
      </c>
      <c r="Y59" s="36">
        <v>7676</v>
      </c>
      <c r="Z59" s="36">
        <v>7233</v>
      </c>
      <c r="AA59" s="36">
        <v>5049</v>
      </c>
      <c r="AB59" s="36">
        <v>5293</v>
      </c>
      <c r="AC59" s="36">
        <v>5362</v>
      </c>
      <c r="AD59" s="36">
        <v>8531</v>
      </c>
      <c r="AE59" s="36">
        <v>6810</v>
      </c>
      <c r="AF59" s="36">
        <v>6836</v>
      </c>
      <c r="AG59" s="36">
        <v>9146</v>
      </c>
      <c r="AH59" s="36">
        <v>10620</v>
      </c>
      <c r="AI59" s="36">
        <v>10746</v>
      </c>
      <c r="AJ59" s="36">
        <v>10741</v>
      </c>
      <c r="AK59" s="36">
        <v>11049</v>
      </c>
      <c r="AL59" s="36">
        <v>9771</v>
      </c>
      <c r="AM59" s="36">
        <v>11865</v>
      </c>
      <c r="AN59" s="36">
        <v>10623</v>
      </c>
      <c r="AO59" s="36">
        <v>11773</v>
      </c>
      <c r="AP59" s="36">
        <v>12981</v>
      </c>
      <c r="AQ59" s="36">
        <v>18850</v>
      </c>
      <c r="AR59" s="36">
        <v>15820</v>
      </c>
      <c r="AS59" s="36">
        <v>26262</v>
      </c>
      <c r="AT59" s="36">
        <v>54465</v>
      </c>
      <c r="AU59" s="36">
        <v>29567</v>
      </c>
      <c r="AV59" s="36">
        <v>23952</v>
      </c>
      <c r="AW59" s="36">
        <v>27676</v>
      </c>
      <c r="AX59" s="36">
        <v>23894</v>
      </c>
      <c r="AY59" s="36">
        <v>23883</v>
      </c>
      <c r="AZ59" s="36">
        <v>25132</v>
      </c>
      <c r="BA59" s="36">
        <v>32335</v>
      </c>
      <c r="BB59" s="36">
        <v>20670</v>
      </c>
      <c r="BC59" s="36">
        <v>20669</v>
      </c>
      <c r="BD59" s="36">
        <v>20140</v>
      </c>
      <c r="BE59" s="36">
        <v>24907</v>
      </c>
      <c r="BF59" s="36">
        <v>42159</v>
      </c>
      <c r="BG59" s="36">
        <v>26784</v>
      </c>
      <c r="BH59" s="36">
        <v>81878</v>
      </c>
      <c r="BI59" s="34">
        <v>44655</v>
      </c>
      <c r="BJ59" s="34">
        <v>69963</v>
      </c>
      <c r="BK59" s="34">
        <v>86553</v>
      </c>
      <c r="BL59" s="34">
        <v>85215</v>
      </c>
    </row>
    <row r="60" spans="1:64" ht="14.15" customHeight="1" x14ac:dyDescent="0.35">
      <c r="A60" s="28" t="s">
        <v>188</v>
      </c>
      <c r="B60" s="29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J60" s="22"/>
      <c r="BK60" s="22"/>
      <c r="BL60" s="22"/>
    </row>
    <row r="61" spans="1:64" ht="14.15" customHeight="1" x14ac:dyDescent="0.35">
      <c r="A61" s="31" t="s">
        <v>189</v>
      </c>
      <c r="B61" s="35">
        <v>482</v>
      </c>
      <c r="C61" s="35">
        <v>553</v>
      </c>
      <c r="D61" s="35">
        <v>579</v>
      </c>
      <c r="E61" s="35">
        <v>719</v>
      </c>
      <c r="F61" s="35">
        <v>1627</v>
      </c>
      <c r="G61" s="35">
        <v>2310</v>
      </c>
      <c r="H61" s="35">
        <v>2516</v>
      </c>
      <c r="I61" s="35">
        <v>2470</v>
      </c>
      <c r="J61" s="35">
        <v>2893</v>
      </c>
      <c r="K61" s="35">
        <v>3333</v>
      </c>
      <c r="L61" s="35">
        <v>3686</v>
      </c>
      <c r="M61" s="35">
        <v>3573</v>
      </c>
      <c r="N61" s="35">
        <v>3573</v>
      </c>
      <c r="O61" s="35">
        <v>4349</v>
      </c>
      <c r="P61" s="35">
        <v>4200</v>
      </c>
      <c r="Q61" s="35">
        <v>4638</v>
      </c>
      <c r="R61" s="35">
        <v>5186</v>
      </c>
      <c r="S61" s="35">
        <v>6123</v>
      </c>
      <c r="T61" s="35">
        <v>6893</v>
      </c>
      <c r="U61" s="35">
        <v>7099</v>
      </c>
      <c r="V61" s="35">
        <v>6722</v>
      </c>
      <c r="W61" s="35">
        <v>6258</v>
      </c>
      <c r="X61" s="35">
        <v>6483</v>
      </c>
      <c r="Y61" s="35">
        <v>7598</v>
      </c>
      <c r="Z61" s="35">
        <v>7802</v>
      </c>
      <c r="AA61" s="35">
        <v>7869</v>
      </c>
      <c r="AB61" s="35">
        <v>8377</v>
      </c>
      <c r="AC61" s="35">
        <v>9150</v>
      </c>
      <c r="AD61" s="35">
        <v>9918</v>
      </c>
      <c r="AE61" s="35">
        <v>11372</v>
      </c>
      <c r="AF61" s="35">
        <v>12402</v>
      </c>
      <c r="AG61" s="35">
        <v>13481</v>
      </c>
      <c r="AH61" s="35">
        <v>14258</v>
      </c>
      <c r="AI61" s="35">
        <v>14694</v>
      </c>
      <c r="AJ61" s="35">
        <v>14871</v>
      </c>
      <c r="AK61" s="35">
        <v>15073</v>
      </c>
      <c r="AL61" s="35">
        <v>16606</v>
      </c>
      <c r="AM61" s="35">
        <v>17589</v>
      </c>
      <c r="AN61" s="35">
        <v>20578</v>
      </c>
      <c r="AO61" s="35">
        <v>22858</v>
      </c>
      <c r="AP61" s="35">
        <v>25879</v>
      </c>
      <c r="AQ61" s="35">
        <v>31473</v>
      </c>
      <c r="AR61" s="35">
        <v>34360</v>
      </c>
      <c r="AS61" s="35">
        <v>38271</v>
      </c>
      <c r="AT61" s="35">
        <v>39710</v>
      </c>
      <c r="AU61" s="35">
        <v>38427</v>
      </c>
      <c r="AV61" s="35">
        <v>38918</v>
      </c>
      <c r="AW61" s="35">
        <v>53206</v>
      </c>
      <c r="AX61" s="35">
        <v>73261</v>
      </c>
      <c r="AY61" s="35">
        <v>66476</v>
      </c>
      <c r="AZ61" s="35">
        <v>47492</v>
      </c>
      <c r="BA61" s="35">
        <v>42407</v>
      </c>
      <c r="BB61" s="35">
        <v>40813</v>
      </c>
      <c r="BC61" s="35">
        <v>40022</v>
      </c>
      <c r="BD61" s="35">
        <v>39779</v>
      </c>
      <c r="BE61" s="35">
        <v>40631</v>
      </c>
      <c r="BF61" s="35">
        <v>39474</v>
      </c>
      <c r="BG61" s="35">
        <v>41354</v>
      </c>
      <c r="BH61" s="35">
        <v>51352</v>
      </c>
      <c r="BI61" s="33">
        <v>90530</v>
      </c>
      <c r="BJ61" s="33">
        <v>122697</v>
      </c>
      <c r="BK61" s="33">
        <v>111403</v>
      </c>
      <c r="BL61" s="33">
        <v>105373</v>
      </c>
    </row>
    <row r="62" spans="1:64" ht="14.15" customHeight="1" x14ac:dyDescent="0.35">
      <c r="A62" s="31" t="s">
        <v>190</v>
      </c>
      <c r="B62" s="35">
        <v>328</v>
      </c>
      <c r="C62" s="35">
        <v>426</v>
      </c>
      <c r="D62" s="35">
        <v>382</v>
      </c>
      <c r="E62" s="35">
        <v>413</v>
      </c>
      <c r="F62" s="35">
        <v>706</v>
      </c>
      <c r="G62" s="35">
        <v>1161</v>
      </c>
      <c r="H62" s="35">
        <v>1394</v>
      </c>
      <c r="I62" s="35">
        <v>1234</v>
      </c>
      <c r="J62" s="35">
        <v>1387</v>
      </c>
      <c r="K62" s="35">
        <v>1435</v>
      </c>
      <c r="L62" s="35">
        <v>1448</v>
      </c>
      <c r="M62" s="35">
        <v>1534</v>
      </c>
      <c r="N62" s="35">
        <v>1451</v>
      </c>
      <c r="O62" s="35">
        <v>2182</v>
      </c>
      <c r="P62" s="35">
        <v>2813</v>
      </c>
      <c r="Q62" s="35">
        <v>3200</v>
      </c>
      <c r="R62" s="35">
        <v>3710</v>
      </c>
      <c r="S62" s="35">
        <v>5030</v>
      </c>
      <c r="T62" s="35">
        <v>6723</v>
      </c>
      <c r="U62" s="35">
        <v>8767</v>
      </c>
      <c r="V62" s="35">
        <v>7116</v>
      </c>
      <c r="W62" s="35">
        <v>7181</v>
      </c>
      <c r="X62" s="35">
        <v>7315</v>
      </c>
      <c r="Y62" s="35">
        <v>8151</v>
      </c>
      <c r="Z62" s="35">
        <v>8357</v>
      </c>
      <c r="AA62" s="35">
        <v>7357</v>
      </c>
      <c r="AB62" s="35">
        <v>8256</v>
      </c>
      <c r="AC62" s="35">
        <v>10573</v>
      </c>
      <c r="AD62" s="35">
        <v>11107</v>
      </c>
      <c r="AE62" s="35">
        <v>11991</v>
      </c>
      <c r="AF62" s="35">
        <v>11340</v>
      </c>
      <c r="AG62" s="35">
        <v>14555</v>
      </c>
      <c r="AH62" s="35">
        <v>7932</v>
      </c>
      <c r="AI62" s="35">
        <v>14219</v>
      </c>
      <c r="AJ62" s="35">
        <v>12214</v>
      </c>
      <c r="AK62" s="35">
        <v>12340</v>
      </c>
      <c r="AL62" s="35">
        <v>12092</v>
      </c>
      <c r="AM62" s="35">
        <v>10675</v>
      </c>
      <c r="AN62" s="35">
        <v>10117</v>
      </c>
      <c r="AO62" s="35">
        <v>9563</v>
      </c>
      <c r="AP62" s="35">
        <v>17075</v>
      </c>
      <c r="AQ62" s="35">
        <v>22843</v>
      </c>
      <c r="AR62" s="35">
        <v>25287</v>
      </c>
      <c r="AS62" s="35">
        <v>31440</v>
      </c>
      <c r="AT62" s="35">
        <v>50462</v>
      </c>
      <c r="AU62" s="35">
        <v>24628</v>
      </c>
      <c r="AV62" s="35">
        <v>23583</v>
      </c>
      <c r="AW62" s="35">
        <v>-3263</v>
      </c>
      <c r="AX62" s="35">
        <v>20905</v>
      </c>
      <c r="AY62" s="35">
        <v>1131</v>
      </c>
      <c r="AZ62" s="35">
        <v>12112</v>
      </c>
      <c r="BA62" s="35">
        <v>-473</v>
      </c>
      <c r="BB62" s="35">
        <v>20099</v>
      </c>
      <c r="BC62" s="35">
        <v>51315</v>
      </c>
      <c r="BD62" s="35">
        <v>38736</v>
      </c>
      <c r="BE62" s="35">
        <v>71778</v>
      </c>
      <c r="BF62" s="35">
        <v>24610</v>
      </c>
      <c r="BG62" s="35">
        <v>63107</v>
      </c>
      <c r="BH62" s="35">
        <v>152971</v>
      </c>
      <c r="BI62" s="33">
        <v>172679</v>
      </c>
      <c r="BJ62" s="33">
        <v>518089</v>
      </c>
      <c r="BK62" s="33">
        <v>-152600</v>
      </c>
      <c r="BL62" s="33">
        <v>161032</v>
      </c>
    </row>
    <row r="63" spans="1:64" ht="14.15" customHeight="1" x14ac:dyDescent="0.35">
      <c r="A63" s="31" t="s">
        <v>191</v>
      </c>
      <c r="B63" s="35">
        <v>58</v>
      </c>
      <c r="C63" s="35">
        <v>55</v>
      </c>
      <c r="D63" s="35">
        <v>62</v>
      </c>
      <c r="E63" s="35">
        <v>92</v>
      </c>
      <c r="F63" s="35">
        <v>122</v>
      </c>
      <c r="G63" s="35">
        <v>156</v>
      </c>
      <c r="H63" s="35">
        <v>240</v>
      </c>
      <c r="I63" s="35">
        <v>210</v>
      </c>
      <c r="J63" s="35">
        <v>355</v>
      </c>
      <c r="K63" s="35">
        <v>295</v>
      </c>
      <c r="L63" s="35">
        <v>319</v>
      </c>
      <c r="M63" s="35">
        <v>429</v>
      </c>
      <c r="N63" s="35">
        <v>621</v>
      </c>
      <c r="O63" s="35">
        <v>790</v>
      </c>
      <c r="P63" s="35">
        <v>783</v>
      </c>
      <c r="Q63" s="35">
        <v>894</v>
      </c>
      <c r="R63" s="35">
        <v>1033</v>
      </c>
      <c r="S63" s="35">
        <v>1157</v>
      </c>
      <c r="T63" s="35">
        <v>1212</v>
      </c>
      <c r="U63" s="35">
        <v>1171</v>
      </c>
      <c r="V63" s="35">
        <v>1211</v>
      </c>
      <c r="W63" s="35">
        <v>1155</v>
      </c>
      <c r="X63" s="35">
        <v>1330</v>
      </c>
      <c r="Y63" s="35">
        <v>1228</v>
      </c>
      <c r="Z63" s="35">
        <v>1265</v>
      </c>
      <c r="AA63" s="35">
        <v>1358</v>
      </c>
      <c r="AB63" s="35">
        <v>1368</v>
      </c>
      <c r="AC63" s="35">
        <v>1507</v>
      </c>
      <c r="AD63" s="35">
        <v>1572</v>
      </c>
      <c r="AE63" s="35">
        <v>1775</v>
      </c>
      <c r="AF63" s="35">
        <v>1995</v>
      </c>
      <c r="AG63" s="35">
        <v>2053</v>
      </c>
      <c r="AH63" s="35">
        <v>2098</v>
      </c>
      <c r="AI63" s="35">
        <v>2128</v>
      </c>
      <c r="AJ63" s="35">
        <v>2228</v>
      </c>
      <c r="AK63" s="35">
        <v>2150</v>
      </c>
      <c r="AL63" s="35">
        <v>2280</v>
      </c>
      <c r="AM63" s="35">
        <v>2333</v>
      </c>
      <c r="AN63" s="35">
        <v>2543</v>
      </c>
      <c r="AO63" s="35">
        <v>2728</v>
      </c>
      <c r="AP63" s="35">
        <v>2950</v>
      </c>
      <c r="AQ63" s="35">
        <v>2992</v>
      </c>
      <c r="AR63" s="35">
        <v>3031</v>
      </c>
      <c r="AS63" s="35">
        <v>3124</v>
      </c>
      <c r="AT63" s="35">
        <v>2998</v>
      </c>
      <c r="AU63" s="35">
        <v>3153</v>
      </c>
      <c r="AV63" s="35">
        <v>3194</v>
      </c>
      <c r="AW63" s="35">
        <v>3456</v>
      </c>
      <c r="AX63" s="35">
        <v>3631</v>
      </c>
      <c r="AY63" s="35">
        <v>3710</v>
      </c>
      <c r="AZ63" s="35">
        <v>3704</v>
      </c>
      <c r="BA63" s="35">
        <v>3705</v>
      </c>
      <c r="BB63" s="35">
        <v>3552</v>
      </c>
      <c r="BC63" s="35">
        <v>3493</v>
      </c>
      <c r="BD63" s="35">
        <v>3529</v>
      </c>
      <c r="BE63" s="35">
        <v>3691</v>
      </c>
      <c r="BF63" s="35">
        <v>3601</v>
      </c>
      <c r="BG63" s="35">
        <v>3748</v>
      </c>
      <c r="BH63" s="35">
        <v>3909</v>
      </c>
      <c r="BI63" s="33">
        <v>4098</v>
      </c>
      <c r="BJ63" s="33">
        <v>4261</v>
      </c>
      <c r="BK63" s="33">
        <v>4653</v>
      </c>
      <c r="BL63" s="33">
        <v>4723</v>
      </c>
    </row>
    <row r="64" spans="1:64" ht="14.15" customHeight="1" x14ac:dyDescent="0.35">
      <c r="A64" s="31" t="s">
        <v>192</v>
      </c>
      <c r="B64" s="35">
        <v>189</v>
      </c>
      <c r="C64" s="35">
        <v>203</v>
      </c>
      <c r="D64" s="35">
        <v>291</v>
      </c>
      <c r="E64" s="35">
        <v>528</v>
      </c>
      <c r="F64" s="35">
        <v>983</v>
      </c>
      <c r="G64" s="35">
        <v>1233</v>
      </c>
      <c r="H64" s="35">
        <v>1582</v>
      </c>
      <c r="I64" s="35">
        <v>1560</v>
      </c>
      <c r="J64" s="35">
        <v>1602</v>
      </c>
      <c r="K64" s="35">
        <v>1952</v>
      </c>
      <c r="L64" s="35">
        <v>2894</v>
      </c>
      <c r="M64" s="35">
        <v>3283</v>
      </c>
      <c r="N64" s="35">
        <v>2910</v>
      </c>
      <c r="O64" s="35">
        <v>4063</v>
      </c>
      <c r="P64" s="35">
        <v>6288</v>
      </c>
      <c r="Q64" s="35">
        <v>6877</v>
      </c>
      <c r="R64" s="35">
        <v>10784</v>
      </c>
      <c r="S64" s="35">
        <v>10833</v>
      </c>
      <c r="T64" s="35">
        <v>10345</v>
      </c>
      <c r="U64" s="35">
        <v>9241</v>
      </c>
      <c r="V64" s="35">
        <v>5464</v>
      </c>
      <c r="W64" s="35">
        <v>5295</v>
      </c>
      <c r="X64" s="35">
        <v>4644</v>
      </c>
      <c r="Y64" s="35">
        <v>4972</v>
      </c>
      <c r="Z64" s="35">
        <v>5257</v>
      </c>
      <c r="AA64" s="35">
        <v>5084</v>
      </c>
      <c r="AB64" s="35">
        <v>5215</v>
      </c>
      <c r="AC64" s="35">
        <v>5292</v>
      </c>
      <c r="AD64" s="35">
        <v>5619</v>
      </c>
      <c r="AE64" s="35">
        <v>5934</v>
      </c>
      <c r="AF64" s="35">
        <v>6479</v>
      </c>
      <c r="AG64" s="35">
        <v>6700</v>
      </c>
      <c r="AH64" s="35">
        <v>7097</v>
      </c>
      <c r="AI64" s="35">
        <v>7430</v>
      </c>
      <c r="AJ64" s="35">
        <v>7030</v>
      </c>
      <c r="AK64" s="35">
        <v>6681</v>
      </c>
      <c r="AL64" s="35">
        <v>6636</v>
      </c>
      <c r="AM64" s="35">
        <v>6783</v>
      </c>
      <c r="AN64" s="35">
        <v>6777</v>
      </c>
      <c r="AO64" s="35">
        <v>7192</v>
      </c>
      <c r="AP64" s="35">
        <v>8354</v>
      </c>
      <c r="AQ64" s="35">
        <v>8379</v>
      </c>
      <c r="AR64" s="35">
        <v>7918</v>
      </c>
      <c r="AS64" s="35">
        <v>6852</v>
      </c>
      <c r="AT64" s="35">
        <v>7199</v>
      </c>
      <c r="AU64" s="35">
        <v>7080</v>
      </c>
      <c r="AV64" s="35">
        <v>7181</v>
      </c>
      <c r="AW64" s="35">
        <v>7652</v>
      </c>
      <c r="AX64" s="35">
        <v>9854</v>
      </c>
      <c r="AY64" s="35">
        <v>9139</v>
      </c>
      <c r="AZ64" s="35">
        <v>7779</v>
      </c>
      <c r="BA64" s="35">
        <v>7271</v>
      </c>
      <c r="BB64" s="35">
        <v>7013</v>
      </c>
      <c r="BC64" s="35">
        <v>7103</v>
      </c>
      <c r="BD64" s="35">
        <v>7027</v>
      </c>
      <c r="BE64" s="35">
        <v>7018</v>
      </c>
      <c r="BF64" s="35">
        <v>6759</v>
      </c>
      <c r="BG64" s="35">
        <v>6650</v>
      </c>
      <c r="BH64" s="35">
        <v>6594</v>
      </c>
      <c r="BI64" s="33">
        <v>7293</v>
      </c>
      <c r="BJ64" s="33">
        <v>7550</v>
      </c>
      <c r="BK64" s="33">
        <v>7376</v>
      </c>
      <c r="BL64" s="33">
        <v>7683</v>
      </c>
    </row>
    <row r="65" spans="1:64" ht="14.15" customHeight="1" x14ac:dyDescent="0.35">
      <c r="A65" s="31" t="s">
        <v>193</v>
      </c>
      <c r="B65" s="35">
        <v>74</v>
      </c>
      <c r="C65" s="35">
        <v>84</v>
      </c>
      <c r="D65" s="35">
        <v>72</v>
      </c>
      <c r="E65" s="35">
        <v>97</v>
      </c>
      <c r="F65" s="35">
        <v>101</v>
      </c>
      <c r="G65" s="35">
        <v>107</v>
      </c>
      <c r="H65" s="35">
        <v>112</v>
      </c>
      <c r="I65" s="35">
        <v>122</v>
      </c>
      <c r="J65" s="35">
        <v>135</v>
      </c>
      <c r="K65" s="35">
        <v>157</v>
      </c>
      <c r="L65" s="35">
        <v>184</v>
      </c>
      <c r="M65" s="35">
        <v>202</v>
      </c>
      <c r="N65" s="35">
        <v>219</v>
      </c>
      <c r="O65" s="35">
        <v>259</v>
      </c>
      <c r="P65" s="35">
        <v>301</v>
      </c>
      <c r="Q65" s="35">
        <v>374</v>
      </c>
      <c r="R65" s="35">
        <v>410</v>
      </c>
      <c r="S65" s="35">
        <v>488</v>
      </c>
      <c r="T65" s="35">
        <v>551</v>
      </c>
      <c r="U65" s="35">
        <v>587</v>
      </c>
      <c r="V65" s="35">
        <v>589</v>
      </c>
      <c r="W65" s="35">
        <v>599</v>
      </c>
      <c r="X65" s="35">
        <v>639</v>
      </c>
      <c r="Y65" s="35">
        <v>678</v>
      </c>
      <c r="Z65" s="35">
        <v>672</v>
      </c>
      <c r="AA65" s="35">
        <v>675</v>
      </c>
      <c r="AB65" s="35">
        <v>739</v>
      </c>
      <c r="AC65" s="35">
        <v>786</v>
      </c>
      <c r="AD65" s="35">
        <v>810</v>
      </c>
      <c r="AE65" s="35">
        <v>788</v>
      </c>
      <c r="AF65" s="35">
        <v>884</v>
      </c>
      <c r="AG65" s="35">
        <v>948</v>
      </c>
      <c r="AH65" s="35">
        <v>958</v>
      </c>
      <c r="AI65" s="35">
        <v>965</v>
      </c>
      <c r="AJ65" s="35">
        <v>925</v>
      </c>
      <c r="AK65" s="35">
        <v>1009</v>
      </c>
      <c r="AL65" s="35">
        <v>1036</v>
      </c>
      <c r="AM65" s="35">
        <v>1076</v>
      </c>
      <c r="AN65" s="35">
        <v>1194</v>
      </c>
      <c r="AO65" s="35">
        <v>1268</v>
      </c>
      <c r="AP65" s="35">
        <v>1433</v>
      </c>
      <c r="AQ65" s="35">
        <v>1473</v>
      </c>
      <c r="AR65" s="35">
        <v>1546</v>
      </c>
      <c r="AS65" s="35">
        <v>1615</v>
      </c>
      <c r="AT65" s="35">
        <v>1631</v>
      </c>
      <c r="AU65" s="35">
        <v>1635</v>
      </c>
      <c r="AV65" s="35">
        <v>1623</v>
      </c>
      <c r="AW65" s="35">
        <v>1646</v>
      </c>
      <c r="AX65" s="35">
        <v>1765</v>
      </c>
      <c r="AY65" s="35">
        <v>1869</v>
      </c>
      <c r="AZ65" s="35">
        <v>1868</v>
      </c>
      <c r="BA65" s="35">
        <v>1888</v>
      </c>
      <c r="BB65" s="35">
        <v>1834</v>
      </c>
      <c r="BC65" s="35">
        <v>1799</v>
      </c>
      <c r="BD65" s="35">
        <v>1878</v>
      </c>
      <c r="BE65" s="35">
        <v>1900</v>
      </c>
      <c r="BF65" s="35">
        <v>1918</v>
      </c>
      <c r="BG65" s="35">
        <v>1928</v>
      </c>
      <c r="BH65" s="35">
        <v>1954</v>
      </c>
      <c r="BI65" s="33">
        <v>1882</v>
      </c>
      <c r="BJ65" s="33">
        <v>1975</v>
      </c>
      <c r="BK65" s="33">
        <v>2180</v>
      </c>
      <c r="BL65" s="33">
        <v>2393</v>
      </c>
    </row>
    <row r="66" spans="1:64" ht="14.15" customHeight="1" x14ac:dyDescent="0.35">
      <c r="A66" s="31" t="s">
        <v>194</v>
      </c>
      <c r="B66" s="35">
        <v>110</v>
      </c>
      <c r="C66" s="35">
        <v>137</v>
      </c>
      <c r="D66" s="35">
        <v>169</v>
      </c>
      <c r="E66" s="35">
        <v>291</v>
      </c>
      <c r="F66" s="35">
        <v>823</v>
      </c>
      <c r="G66" s="35">
        <v>1486</v>
      </c>
      <c r="H66" s="35">
        <v>1791</v>
      </c>
      <c r="I66" s="35">
        <v>1952</v>
      </c>
      <c r="J66" s="35">
        <v>2263</v>
      </c>
      <c r="K66" s="35">
        <v>2677</v>
      </c>
      <c r="L66" s="35">
        <v>3998</v>
      </c>
      <c r="M66" s="35">
        <v>3723</v>
      </c>
      <c r="N66" s="35">
        <v>3682</v>
      </c>
      <c r="O66" s="35">
        <v>4380</v>
      </c>
      <c r="P66" s="35">
        <v>4526</v>
      </c>
      <c r="Q66" s="35">
        <v>5121</v>
      </c>
      <c r="R66" s="35">
        <v>5584</v>
      </c>
      <c r="S66" s="35">
        <v>6588</v>
      </c>
      <c r="T66" s="35">
        <v>6111</v>
      </c>
      <c r="U66" s="35">
        <v>6281</v>
      </c>
      <c r="V66" s="35">
        <v>5508</v>
      </c>
      <c r="W66" s="35">
        <v>5703</v>
      </c>
      <c r="X66" s="35">
        <v>6503</v>
      </c>
      <c r="Y66" s="35">
        <v>5957</v>
      </c>
      <c r="Z66" s="35">
        <v>6418</v>
      </c>
      <c r="AA66" s="35">
        <v>6572</v>
      </c>
      <c r="AB66" s="35">
        <v>6984</v>
      </c>
      <c r="AC66" s="35">
        <v>8007</v>
      </c>
      <c r="AD66" s="35">
        <v>8141</v>
      </c>
      <c r="AE66" s="35">
        <v>9401</v>
      </c>
      <c r="AF66" s="35">
        <v>9708</v>
      </c>
      <c r="AG66" s="35">
        <v>9718</v>
      </c>
      <c r="AH66" s="35">
        <v>10994</v>
      </c>
      <c r="AI66" s="35">
        <v>11631</v>
      </c>
      <c r="AJ66" s="35">
        <v>11066</v>
      </c>
      <c r="AK66" s="35">
        <v>11761</v>
      </c>
      <c r="AL66" s="35">
        <v>11884</v>
      </c>
      <c r="AM66" s="35">
        <v>12152</v>
      </c>
      <c r="AN66" s="35">
        <v>12557</v>
      </c>
      <c r="AO66" s="35">
        <v>13480</v>
      </c>
      <c r="AP66" s="35">
        <v>14901</v>
      </c>
      <c r="AQ66" s="35">
        <v>15573</v>
      </c>
      <c r="AR66" s="35">
        <v>15855</v>
      </c>
      <c r="AS66" s="35">
        <v>16251</v>
      </c>
      <c r="AT66" s="35">
        <v>16473</v>
      </c>
      <c r="AU66" s="35">
        <v>16724</v>
      </c>
      <c r="AV66" s="35">
        <v>16805</v>
      </c>
      <c r="AW66" s="35">
        <v>17047</v>
      </c>
      <c r="AX66" s="35">
        <v>19179</v>
      </c>
      <c r="AY66" s="35">
        <v>18931</v>
      </c>
      <c r="AZ66" s="35">
        <v>17867</v>
      </c>
      <c r="BA66" s="35">
        <v>18062</v>
      </c>
      <c r="BB66" s="35">
        <v>17299</v>
      </c>
      <c r="BC66" s="35">
        <v>18303</v>
      </c>
      <c r="BD66" s="35">
        <v>18760</v>
      </c>
      <c r="BE66" s="35">
        <v>18935</v>
      </c>
      <c r="BF66" s="35">
        <v>19141</v>
      </c>
      <c r="BG66" s="35">
        <v>19913</v>
      </c>
      <c r="BH66" s="35">
        <v>20974</v>
      </c>
      <c r="BI66" s="33">
        <v>21924</v>
      </c>
      <c r="BJ66" s="33">
        <v>22733</v>
      </c>
      <c r="BK66" s="33">
        <v>24799</v>
      </c>
      <c r="BL66" s="33">
        <v>25166</v>
      </c>
    </row>
    <row r="67" spans="1:64" ht="14.15" customHeight="1" x14ac:dyDescent="0.35">
      <c r="A67" s="31" t="s">
        <v>195</v>
      </c>
      <c r="B67" s="36">
        <v>1241</v>
      </c>
      <c r="C67" s="36">
        <v>1458</v>
      </c>
      <c r="D67" s="36">
        <v>1555</v>
      </c>
      <c r="E67" s="36">
        <v>2140</v>
      </c>
      <c r="F67" s="36">
        <v>4363</v>
      </c>
      <c r="G67" s="36">
        <v>6453</v>
      </c>
      <c r="H67" s="36">
        <v>7634</v>
      </c>
      <c r="I67" s="36">
        <v>7548</v>
      </c>
      <c r="J67" s="36">
        <v>8634</v>
      </c>
      <c r="K67" s="36">
        <v>9849</v>
      </c>
      <c r="L67" s="36">
        <v>12529</v>
      </c>
      <c r="M67" s="36">
        <v>12744</v>
      </c>
      <c r="N67" s="36">
        <v>12455</v>
      </c>
      <c r="O67" s="36">
        <v>16022</v>
      </c>
      <c r="P67" s="36">
        <v>18910</v>
      </c>
      <c r="Q67" s="36">
        <v>21104</v>
      </c>
      <c r="R67" s="36">
        <v>26706</v>
      </c>
      <c r="S67" s="36">
        <v>30218</v>
      </c>
      <c r="T67" s="36">
        <v>31835</v>
      </c>
      <c r="U67" s="36">
        <v>33146</v>
      </c>
      <c r="V67" s="36">
        <v>26609</v>
      </c>
      <c r="W67" s="36">
        <v>26192</v>
      </c>
      <c r="X67" s="36">
        <v>26913</v>
      </c>
      <c r="Y67" s="36">
        <v>28584</v>
      </c>
      <c r="Z67" s="36">
        <v>29771</v>
      </c>
      <c r="AA67" s="36">
        <v>28915</v>
      </c>
      <c r="AB67" s="36">
        <v>30939</v>
      </c>
      <c r="AC67" s="36">
        <v>35314</v>
      </c>
      <c r="AD67" s="36">
        <v>37167</v>
      </c>
      <c r="AE67" s="36">
        <v>41260</v>
      </c>
      <c r="AF67" s="36">
        <v>42807</v>
      </c>
      <c r="AG67" s="36">
        <v>47455</v>
      </c>
      <c r="AH67" s="36">
        <v>43337</v>
      </c>
      <c r="AI67" s="36">
        <v>51067</v>
      </c>
      <c r="AJ67" s="36">
        <v>48334</v>
      </c>
      <c r="AK67" s="36">
        <v>49014</v>
      </c>
      <c r="AL67" s="36">
        <v>50534</v>
      </c>
      <c r="AM67" s="36">
        <v>50608</v>
      </c>
      <c r="AN67" s="36">
        <v>53766</v>
      </c>
      <c r="AO67" s="36">
        <v>57089</v>
      </c>
      <c r="AP67" s="36">
        <v>70592</v>
      </c>
      <c r="AQ67" s="36">
        <v>82733</v>
      </c>
      <c r="AR67" s="36">
        <v>87997</v>
      </c>
      <c r="AS67" s="36">
        <v>97553</v>
      </c>
      <c r="AT67" s="36">
        <v>118473</v>
      </c>
      <c r="AU67" s="36">
        <v>91647</v>
      </c>
      <c r="AV67" s="36">
        <v>91304</v>
      </c>
      <c r="AW67" s="36">
        <v>79744</v>
      </c>
      <c r="AX67" s="36">
        <v>128595</v>
      </c>
      <c r="AY67" s="36">
        <v>101256</v>
      </c>
      <c r="AZ67" s="36">
        <v>90822</v>
      </c>
      <c r="BA67" s="36">
        <v>72860</v>
      </c>
      <c r="BB67" s="36">
        <v>90610</v>
      </c>
      <c r="BC67" s="36">
        <v>122035</v>
      </c>
      <c r="BD67" s="36">
        <v>109709</v>
      </c>
      <c r="BE67" s="36">
        <v>143953</v>
      </c>
      <c r="BF67" s="36">
        <v>95503</v>
      </c>
      <c r="BG67" s="36">
        <v>136700</v>
      </c>
      <c r="BH67" s="36">
        <v>237754</v>
      </c>
      <c r="BI67" s="34">
        <v>298406</v>
      </c>
      <c r="BJ67" s="34">
        <v>677305</v>
      </c>
      <c r="BK67" s="34">
        <v>-2189</v>
      </c>
      <c r="BL67" s="34">
        <v>306370</v>
      </c>
    </row>
    <row r="68" spans="1:64" ht="14.15" customHeight="1" x14ac:dyDescent="0.35">
      <c r="A68" s="28" t="s">
        <v>196</v>
      </c>
      <c r="B68" s="29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J68" s="22"/>
      <c r="BK68" s="22"/>
      <c r="BL68" s="22"/>
    </row>
    <row r="69" spans="1:64" ht="14.15" customHeight="1" x14ac:dyDescent="0.35">
      <c r="A69" s="31" t="s">
        <v>197</v>
      </c>
      <c r="B69" s="35">
        <v>528</v>
      </c>
      <c r="C69" s="35">
        <v>623</v>
      </c>
      <c r="D69" s="35">
        <v>740</v>
      </c>
      <c r="E69" s="35">
        <v>881</v>
      </c>
      <c r="F69" s="35">
        <v>1486</v>
      </c>
      <c r="G69" s="35">
        <v>2004</v>
      </c>
      <c r="H69" s="35">
        <v>2694</v>
      </c>
      <c r="I69" s="35">
        <v>3360</v>
      </c>
      <c r="J69" s="35">
        <v>3993</v>
      </c>
      <c r="K69" s="35">
        <v>4766</v>
      </c>
      <c r="L69" s="35">
        <v>6205</v>
      </c>
      <c r="M69" s="35">
        <v>6527</v>
      </c>
      <c r="N69" s="35">
        <v>7707</v>
      </c>
      <c r="O69" s="35">
        <v>9519</v>
      </c>
      <c r="P69" s="35">
        <v>11725</v>
      </c>
      <c r="Q69" s="35">
        <v>13031</v>
      </c>
      <c r="R69" s="35">
        <v>13928</v>
      </c>
      <c r="S69" s="35">
        <v>15988</v>
      </c>
      <c r="T69" s="35">
        <v>18003</v>
      </c>
      <c r="U69" s="35">
        <v>21205</v>
      </c>
      <c r="V69" s="35">
        <v>21786</v>
      </c>
      <c r="W69" s="35">
        <v>23008</v>
      </c>
      <c r="X69" s="35">
        <v>24522</v>
      </c>
      <c r="Y69" s="35">
        <v>26984</v>
      </c>
      <c r="Z69" s="35">
        <v>28848</v>
      </c>
      <c r="AA69" s="35">
        <v>32614</v>
      </c>
      <c r="AB69" s="35">
        <v>36016</v>
      </c>
      <c r="AC69" s="35">
        <v>39158</v>
      </c>
      <c r="AD69" s="35">
        <v>47641</v>
      </c>
      <c r="AE69" s="35">
        <v>60722</v>
      </c>
      <c r="AF69" s="35">
        <v>77717</v>
      </c>
      <c r="AG69" s="35">
        <v>86858</v>
      </c>
      <c r="AH69" s="35">
        <v>94259</v>
      </c>
      <c r="AI69" s="35">
        <v>101912</v>
      </c>
      <c r="AJ69" s="35">
        <v>106609</v>
      </c>
      <c r="AK69" s="35">
        <v>109962</v>
      </c>
      <c r="AL69" s="35">
        <v>116321</v>
      </c>
      <c r="AM69" s="35">
        <v>124494</v>
      </c>
      <c r="AN69" s="35">
        <v>136201</v>
      </c>
      <c r="AO69" s="35">
        <v>151874</v>
      </c>
      <c r="AP69" s="35">
        <v>172550</v>
      </c>
      <c r="AQ69" s="35">
        <v>192573</v>
      </c>
      <c r="AR69" s="35">
        <v>210080</v>
      </c>
      <c r="AS69" s="35">
        <v>219559</v>
      </c>
      <c r="AT69" s="35">
        <v>220800</v>
      </c>
      <c r="AU69" s="35">
        <v>233878</v>
      </c>
      <c r="AV69" s="35">
        <v>247739</v>
      </c>
      <c r="AW69" s="35">
        <v>300013</v>
      </c>
      <c r="AX69" s="35">
        <v>330710</v>
      </c>
      <c r="AY69" s="35">
        <v>332210</v>
      </c>
      <c r="AZ69" s="35">
        <v>308160</v>
      </c>
      <c r="BA69" s="35">
        <v>321850</v>
      </c>
      <c r="BB69" s="35">
        <v>374581</v>
      </c>
      <c r="BC69" s="35">
        <v>446368</v>
      </c>
      <c r="BD69" s="35">
        <v>474779</v>
      </c>
      <c r="BE69" s="35">
        <v>492835</v>
      </c>
      <c r="BF69" s="35">
        <v>511574</v>
      </c>
      <c r="BG69" s="35">
        <v>542197</v>
      </c>
      <c r="BH69" s="35">
        <v>703791</v>
      </c>
      <c r="BI69" s="33">
        <v>750008</v>
      </c>
      <c r="BJ69" s="33">
        <v>864578</v>
      </c>
      <c r="BK69" s="33">
        <v>835211</v>
      </c>
      <c r="BL69" s="33">
        <v>854341</v>
      </c>
    </row>
    <row r="70" spans="1:64" ht="14.15" customHeight="1" x14ac:dyDescent="0.35">
      <c r="A70" s="31" t="s">
        <v>198</v>
      </c>
      <c r="B70" s="35">
        <v>580</v>
      </c>
      <c r="C70" s="35">
        <v>722</v>
      </c>
      <c r="D70" s="35">
        <v>925</v>
      </c>
      <c r="E70" s="35">
        <v>780</v>
      </c>
      <c r="F70" s="35">
        <v>918</v>
      </c>
      <c r="G70" s="35">
        <v>1184</v>
      </c>
      <c r="H70" s="35">
        <v>1517</v>
      </c>
      <c r="I70" s="35">
        <v>1599</v>
      </c>
      <c r="J70" s="35">
        <v>1688</v>
      </c>
      <c r="K70" s="35">
        <v>1801</v>
      </c>
      <c r="L70" s="35">
        <v>2085</v>
      </c>
      <c r="M70" s="35">
        <v>2423</v>
      </c>
      <c r="N70" s="35">
        <v>2497</v>
      </c>
      <c r="O70" s="35">
        <v>2779</v>
      </c>
      <c r="P70" s="35">
        <v>3323</v>
      </c>
      <c r="Q70" s="35">
        <v>3524</v>
      </c>
      <c r="R70" s="35">
        <v>3752</v>
      </c>
      <c r="S70" s="35">
        <v>3607</v>
      </c>
      <c r="T70" s="35">
        <v>4161</v>
      </c>
      <c r="U70" s="35">
        <v>4615</v>
      </c>
      <c r="V70" s="35">
        <v>4618</v>
      </c>
      <c r="W70" s="35">
        <v>4554</v>
      </c>
      <c r="X70" s="35">
        <v>4770</v>
      </c>
      <c r="Y70" s="35">
        <v>5381</v>
      </c>
      <c r="Z70" s="35">
        <v>5922</v>
      </c>
      <c r="AA70" s="35">
        <v>6157</v>
      </c>
      <c r="AB70" s="35">
        <v>7171</v>
      </c>
      <c r="AC70" s="35">
        <v>7875</v>
      </c>
      <c r="AD70" s="35">
        <v>8596</v>
      </c>
      <c r="AE70" s="35">
        <v>8856</v>
      </c>
      <c r="AF70" s="35">
        <v>9940</v>
      </c>
      <c r="AG70" s="35">
        <v>10700</v>
      </c>
      <c r="AH70" s="35">
        <v>10929</v>
      </c>
      <c r="AI70" s="35">
        <v>11522</v>
      </c>
      <c r="AJ70" s="35">
        <v>10804</v>
      </c>
      <c r="AK70" s="35">
        <v>11805</v>
      </c>
      <c r="AL70" s="35">
        <v>13051</v>
      </c>
      <c r="AM70" s="35">
        <v>14380</v>
      </c>
      <c r="AN70" s="35">
        <v>15977</v>
      </c>
      <c r="AO70" s="35">
        <v>17931</v>
      </c>
      <c r="AP70" s="35">
        <v>21330</v>
      </c>
      <c r="AQ70" s="35">
        <v>24108</v>
      </c>
      <c r="AR70" s="35">
        <v>27125</v>
      </c>
      <c r="AS70" s="35">
        <v>28107</v>
      </c>
      <c r="AT70" s="35">
        <v>28868</v>
      </c>
      <c r="AU70" s="35">
        <v>29322</v>
      </c>
      <c r="AV70" s="35">
        <v>29910</v>
      </c>
      <c r="AW70" s="35">
        <v>30603</v>
      </c>
      <c r="AX70" s="35">
        <v>34227</v>
      </c>
      <c r="AY70" s="35">
        <v>36175</v>
      </c>
      <c r="AZ70" s="35">
        <v>34515</v>
      </c>
      <c r="BA70" s="35">
        <v>32829</v>
      </c>
      <c r="BB70" s="35">
        <v>30959</v>
      </c>
      <c r="BC70" s="35">
        <v>31426</v>
      </c>
      <c r="BD70" s="35">
        <v>31859</v>
      </c>
      <c r="BE70" s="35">
        <v>34898</v>
      </c>
      <c r="BF70" s="35">
        <v>35468</v>
      </c>
      <c r="BG70" s="35">
        <v>37690</v>
      </c>
      <c r="BH70" s="35">
        <v>38766</v>
      </c>
      <c r="BI70" s="33">
        <v>41007</v>
      </c>
      <c r="BJ70" s="33">
        <v>42642</v>
      </c>
      <c r="BK70" s="33">
        <v>48069</v>
      </c>
      <c r="BL70" s="33">
        <v>50647</v>
      </c>
    </row>
    <row r="71" spans="1:64" ht="14.15" customHeight="1" x14ac:dyDescent="0.35">
      <c r="A71" s="31" t="s">
        <v>199</v>
      </c>
      <c r="B71" s="35">
        <v>89</v>
      </c>
      <c r="C71" s="35">
        <v>106</v>
      </c>
      <c r="D71" s="35">
        <v>123</v>
      </c>
      <c r="E71" s="35">
        <v>130</v>
      </c>
      <c r="F71" s="35">
        <v>138</v>
      </c>
      <c r="G71" s="35">
        <v>163</v>
      </c>
      <c r="H71" s="35">
        <v>179</v>
      </c>
      <c r="I71" s="35">
        <v>203</v>
      </c>
      <c r="J71" s="35">
        <v>226</v>
      </c>
      <c r="K71" s="35">
        <v>277</v>
      </c>
      <c r="L71" s="35">
        <v>383</v>
      </c>
      <c r="M71" s="35">
        <v>406</v>
      </c>
      <c r="N71" s="35">
        <v>529</v>
      </c>
      <c r="O71" s="35">
        <v>632</v>
      </c>
      <c r="P71" s="35">
        <v>686</v>
      </c>
      <c r="Q71" s="35">
        <v>747</v>
      </c>
      <c r="R71" s="35">
        <v>844</v>
      </c>
      <c r="S71" s="35">
        <v>899</v>
      </c>
      <c r="T71" s="35">
        <v>1006</v>
      </c>
      <c r="U71" s="35">
        <v>1047</v>
      </c>
      <c r="V71" s="35">
        <v>1041</v>
      </c>
      <c r="W71" s="35">
        <v>1081</v>
      </c>
      <c r="X71" s="35">
        <v>1129</v>
      </c>
      <c r="Y71" s="35">
        <v>1182</v>
      </c>
      <c r="Z71" s="35">
        <v>1165</v>
      </c>
      <c r="AA71" s="35">
        <v>1197</v>
      </c>
      <c r="AB71" s="35">
        <v>1285</v>
      </c>
      <c r="AC71" s="35">
        <v>1356</v>
      </c>
      <c r="AD71" s="35">
        <v>1462</v>
      </c>
      <c r="AE71" s="35">
        <v>1560</v>
      </c>
      <c r="AF71" s="35">
        <v>1757</v>
      </c>
      <c r="AG71" s="35">
        <v>1762</v>
      </c>
      <c r="AH71" s="35">
        <v>1863</v>
      </c>
      <c r="AI71" s="35">
        <v>1918</v>
      </c>
      <c r="AJ71" s="35">
        <v>1929</v>
      </c>
      <c r="AK71" s="35">
        <v>2023</v>
      </c>
      <c r="AL71" s="35">
        <v>2031</v>
      </c>
      <c r="AM71" s="35">
        <v>2171</v>
      </c>
      <c r="AN71" s="35">
        <v>2324</v>
      </c>
      <c r="AO71" s="35">
        <v>2433</v>
      </c>
      <c r="AP71" s="35">
        <v>2591</v>
      </c>
      <c r="AQ71" s="35">
        <v>2924</v>
      </c>
      <c r="AR71" s="35">
        <v>2943</v>
      </c>
      <c r="AS71" s="35">
        <v>2939</v>
      </c>
      <c r="AT71" s="35">
        <v>3111</v>
      </c>
      <c r="AU71" s="35">
        <v>3225</v>
      </c>
      <c r="AV71" s="35">
        <v>2977</v>
      </c>
      <c r="AW71" s="35">
        <v>3752</v>
      </c>
      <c r="AX71" s="35">
        <v>4144</v>
      </c>
      <c r="AY71" s="35">
        <v>4096</v>
      </c>
      <c r="AZ71" s="35">
        <v>4080</v>
      </c>
      <c r="BA71" s="35">
        <v>3585</v>
      </c>
      <c r="BB71" s="35">
        <v>3957</v>
      </c>
      <c r="BC71" s="35">
        <v>4463</v>
      </c>
      <c r="BD71" s="35">
        <v>4687</v>
      </c>
      <c r="BE71" s="35">
        <v>5419</v>
      </c>
      <c r="BF71" s="35">
        <v>4177</v>
      </c>
      <c r="BG71" s="35">
        <v>4929</v>
      </c>
      <c r="BH71" s="35">
        <v>5025</v>
      </c>
      <c r="BI71" s="33">
        <v>5435</v>
      </c>
      <c r="BJ71" s="33">
        <v>6861</v>
      </c>
      <c r="BK71" s="33">
        <v>5275</v>
      </c>
      <c r="BL71" s="33">
        <v>6301</v>
      </c>
    </row>
    <row r="72" spans="1:64" ht="14.15" customHeight="1" x14ac:dyDescent="0.35">
      <c r="A72" s="31" t="s">
        <v>200</v>
      </c>
      <c r="B72" s="36">
        <v>1198</v>
      </c>
      <c r="C72" s="36">
        <v>1451</v>
      </c>
      <c r="D72" s="36">
        <v>1788</v>
      </c>
      <c r="E72" s="36">
        <v>1791</v>
      </c>
      <c r="F72" s="36">
        <v>2543</v>
      </c>
      <c r="G72" s="36">
        <v>3351</v>
      </c>
      <c r="H72" s="36">
        <v>4390</v>
      </c>
      <c r="I72" s="36">
        <v>5162</v>
      </c>
      <c r="J72" s="36">
        <v>5907</v>
      </c>
      <c r="K72" s="36">
        <v>6843</v>
      </c>
      <c r="L72" s="36">
        <v>8674</v>
      </c>
      <c r="M72" s="36">
        <v>9356</v>
      </c>
      <c r="N72" s="36">
        <v>10733</v>
      </c>
      <c r="O72" s="36">
        <v>12930</v>
      </c>
      <c r="P72" s="36">
        <v>15734</v>
      </c>
      <c r="Q72" s="36">
        <v>17302</v>
      </c>
      <c r="R72" s="36">
        <v>18524</v>
      </c>
      <c r="S72" s="36">
        <v>20494</v>
      </c>
      <c r="T72" s="36">
        <v>23169</v>
      </c>
      <c r="U72" s="36">
        <v>26866</v>
      </c>
      <c r="V72" s="36">
        <v>27445</v>
      </c>
      <c r="W72" s="36">
        <v>28643</v>
      </c>
      <c r="X72" s="36">
        <v>30420</v>
      </c>
      <c r="Y72" s="36">
        <v>33546</v>
      </c>
      <c r="Z72" s="36">
        <v>35935</v>
      </c>
      <c r="AA72" s="36">
        <v>39967</v>
      </c>
      <c r="AB72" s="36">
        <v>44471</v>
      </c>
      <c r="AC72" s="36">
        <v>48390</v>
      </c>
      <c r="AD72" s="36">
        <v>57700</v>
      </c>
      <c r="AE72" s="36">
        <v>71139</v>
      </c>
      <c r="AF72" s="36">
        <v>89415</v>
      </c>
      <c r="AG72" s="36">
        <v>99321</v>
      </c>
      <c r="AH72" s="36">
        <v>107051</v>
      </c>
      <c r="AI72" s="36">
        <v>115352</v>
      </c>
      <c r="AJ72" s="36">
        <v>119342</v>
      </c>
      <c r="AK72" s="36">
        <v>123790</v>
      </c>
      <c r="AL72" s="36">
        <v>131403</v>
      </c>
      <c r="AM72" s="36">
        <v>141045</v>
      </c>
      <c r="AN72" s="36">
        <v>154502</v>
      </c>
      <c r="AO72" s="36">
        <v>172238</v>
      </c>
      <c r="AP72" s="36">
        <v>196471</v>
      </c>
      <c r="AQ72" s="36">
        <v>219605</v>
      </c>
      <c r="AR72" s="36">
        <v>240148</v>
      </c>
      <c r="AS72" s="36">
        <v>250605</v>
      </c>
      <c r="AT72" s="36">
        <v>252779</v>
      </c>
      <c r="AU72" s="36">
        <v>266425</v>
      </c>
      <c r="AV72" s="36">
        <v>280626</v>
      </c>
      <c r="AW72" s="36">
        <v>334368</v>
      </c>
      <c r="AX72" s="36">
        <v>369081</v>
      </c>
      <c r="AY72" s="36">
        <v>372481</v>
      </c>
      <c r="AZ72" s="36">
        <v>346755</v>
      </c>
      <c r="BA72" s="36">
        <v>358264</v>
      </c>
      <c r="BB72" s="36">
        <v>409497</v>
      </c>
      <c r="BC72" s="36">
        <v>482257</v>
      </c>
      <c r="BD72" s="36">
        <v>511325</v>
      </c>
      <c r="BE72" s="36">
        <v>533152</v>
      </c>
      <c r="BF72" s="36">
        <v>551219</v>
      </c>
      <c r="BG72" s="36">
        <v>584816</v>
      </c>
      <c r="BH72" s="36">
        <v>747582</v>
      </c>
      <c r="BI72" s="34">
        <v>796450</v>
      </c>
      <c r="BJ72" s="34">
        <v>914081</v>
      </c>
      <c r="BK72" s="34">
        <v>888555</v>
      </c>
      <c r="BL72" s="34">
        <v>911289</v>
      </c>
    </row>
    <row r="73" spans="1:64" ht="14.15" customHeight="1" x14ac:dyDescent="0.35">
      <c r="A73" s="28" t="s">
        <v>201</v>
      </c>
      <c r="B73" s="29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J73" s="22"/>
      <c r="BK73" s="22"/>
      <c r="BL73" s="22"/>
    </row>
    <row r="74" spans="1:64" ht="14.15" customHeight="1" x14ac:dyDescent="0.35">
      <c r="A74" s="31" t="s">
        <v>202</v>
      </c>
      <c r="B74" s="35" t="s">
        <v>156</v>
      </c>
      <c r="C74" s="35" t="s">
        <v>156</v>
      </c>
      <c r="D74" s="35" t="s">
        <v>156</v>
      </c>
      <c r="E74" s="35" t="s">
        <v>156</v>
      </c>
      <c r="F74" s="35">
        <v>64</v>
      </c>
      <c r="G74" s="35">
        <v>2748</v>
      </c>
      <c r="H74" s="35">
        <v>4649</v>
      </c>
      <c r="I74" s="35">
        <v>5695</v>
      </c>
      <c r="J74" s="35">
        <v>6213</v>
      </c>
      <c r="K74" s="35">
        <v>6622</v>
      </c>
      <c r="L74" s="35">
        <v>7479</v>
      </c>
      <c r="M74" s="35">
        <v>8052</v>
      </c>
      <c r="N74" s="35">
        <v>9639</v>
      </c>
      <c r="O74" s="35">
        <v>12875</v>
      </c>
      <c r="P74" s="35">
        <v>15834</v>
      </c>
      <c r="Q74" s="35">
        <v>19345</v>
      </c>
      <c r="R74" s="35">
        <v>22768</v>
      </c>
      <c r="S74" s="35">
        <v>26495</v>
      </c>
      <c r="T74" s="35">
        <v>32090</v>
      </c>
      <c r="U74" s="35">
        <v>39149</v>
      </c>
      <c r="V74" s="35">
        <v>46567</v>
      </c>
      <c r="W74" s="35">
        <v>52588</v>
      </c>
      <c r="X74" s="35">
        <v>57540</v>
      </c>
      <c r="Y74" s="35">
        <v>65822</v>
      </c>
      <c r="Z74" s="35">
        <v>70164</v>
      </c>
      <c r="AA74" s="35">
        <v>75120</v>
      </c>
      <c r="AB74" s="35">
        <v>78878</v>
      </c>
      <c r="AC74" s="35">
        <v>84964</v>
      </c>
      <c r="AD74" s="35">
        <v>98102</v>
      </c>
      <c r="AE74" s="35">
        <v>104489</v>
      </c>
      <c r="AF74" s="35">
        <v>119024</v>
      </c>
      <c r="AG74" s="35">
        <v>130552</v>
      </c>
      <c r="AH74" s="35">
        <v>144747</v>
      </c>
      <c r="AI74" s="35">
        <v>159855</v>
      </c>
      <c r="AJ74" s="35">
        <v>174225</v>
      </c>
      <c r="AK74" s="35">
        <v>190016</v>
      </c>
      <c r="AL74" s="35">
        <v>192822</v>
      </c>
      <c r="AM74" s="35">
        <v>190447</v>
      </c>
      <c r="AN74" s="35">
        <v>197113</v>
      </c>
      <c r="AO74" s="35">
        <v>217384</v>
      </c>
      <c r="AP74" s="35">
        <v>230855</v>
      </c>
      <c r="AQ74" s="35">
        <v>249433</v>
      </c>
      <c r="AR74" s="35">
        <v>269360</v>
      </c>
      <c r="AS74" s="35">
        <v>298638</v>
      </c>
      <c r="AT74" s="35">
        <v>329868</v>
      </c>
      <c r="AU74" s="35">
        <v>375407</v>
      </c>
      <c r="AV74" s="35">
        <v>390758</v>
      </c>
      <c r="AW74" s="35">
        <v>430093</v>
      </c>
      <c r="AX74" s="35">
        <v>451636</v>
      </c>
      <c r="AY74" s="35">
        <v>485653</v>
      </c>
      <c r="AZ74" s="35">
        <v>471793</v>
      </c>
      <c r="BA74" s="35">
        <v>497826</v>
      </c>
      <c r="BB74" s="35">
        <v>511688</v>
      </c>
      <c r="BC74" s="35">
        <v>546202</v>
      </c>
      <c r="BD74" s="35">
        <v>594536</v>
      </c>
      <c r="BE74" s="35">
        <v>597307</v>
      </c>
      <c r="BF74" s="35">
        <v>588706</v>
      </c>
      <c r="BG74" s="35">
        <v>650996</v>
      </c>
      <c r="BH74" s="35">
        <v>776225</v>
      </c>
      <c r="BI74" s="33">
        <v>696458</v>
      </c>
      <c r="BJ74" s="33">
        <v>755094</v>
      </c>
      <c r="BK74" s="33">
        <v>847544</v>
      </c>
      <c r="BL74" s="33">
        <v>874133</v>
      </c>
    </row>
    <row r="75" spans="1:64" ht="14.15" customHeight="1" x14ac:dyDescent="0.35">
      <c r="A75" s="28" t="s">
        <v>203</v>
      </c>
      <c r="B75" s="29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J75" s="22"/>
      <c r="BK75" s="22"/>
      <c r="BL75" s="22"/>
    </row>
    <row r="76" spans="1:64" ht="14.15" customHeight="1" x14ac:dyDescent="0.35">
      <c r="A76" s="31" t="s">
        <v>204</v>
      </c>
      <c r="B76" s="35">
        <v>661</v>
      </c>
      <c r="C76" s="35">
        <v>632</v>
      </c>
      <c r="D76" s="35">
        <v>682</v>
      </c>
      <c r="E76" s="35">
        <v>668</v>
      </c>
      <c r="F76" s="35">
        <v>736</v>
      </c>
      <c r="G76" s="35">
        <v>731</v>
      </c>
      <c r="H76" s="35">
        <v>944</v>
      </c>
      <c r="I76" s="35">
        <v>1035</v>
      </c>
      <c r="J76" s="35">
        <v>1032</v>
      </c>
      <c r="K76" s="35">
        <v>1613</v>
      </c>
      <c r="L76" s="35">
        <v>1812</v>
      </c>
      <c r="M76" s="35">
        <v>2596</v>
      </c>
      <c r="N76" s="35">
        <v>2750</v>
      </c>
      <c r="O76" s="35">
        <v>4689</v>
      </c>
      <c r="P76" s="35">
        <v>3248</v>
      </c>
      <c r="Q76" s="35">
        <v>3558</v>
      </c>
      <c r="R76" s="35">
        <v>3365</v>
      </c>
      <c r="S76" s="35">
        <v>4373</v>
      </c>
      <c r="T76" s="35">
        <v>5083</v>
      </c>
      <c r="U76" s="35">
        <v>5439</v>
      </c>
      <c r="V76" s="35">
        <v>5571</v>
      </c>
      <c r="W76" s="35">
        <v>5581</v>
      </c>
      <c r="X76" s="35">
        <v>5441</v>
      </c>
      <c r="Y76" s="35">
        <v>5617</v>
      </c>
      <c r="Z76" s="35">
        <v>5330</v>
      </c>
      <c r="AA76" s="35">
        <v>5565</v>
      </c>
      <c r="AB76" s="35">
        <v>5294</v>
      </c>
      <c r="AC76" s="35">
        <v>5650</v>
      </c>
      <c r="AD76" s="35">
        <v>5148</v>
      </c>
      <c r="AE76" s="35">
        <v>4945</v>
      </c>
      <c r="AF76" s="35">
        <v>5483</v>
      </c>
      <c r="AG76" s="35">
        <v>4347</v>
      </c>
      <c r="AH76" s="35">
        <v>5720</v>
      </c>
      <c r="AI76" s="35">
        <v>5106</v>
      </c>
      <c r="AJ76" s="35">
        <v>5234</v>
      </c>
      <c r="AK76" s="35">
        <v>4721</v>
      </c>
      <c r="AL76" s="35">
        <v>4632</v>
      </c>
      <c r="AM76" s="35">
        <v>1878</v>
      </c>
      <c r="AN76" s="35">
        <v>5189</v>
      </c>
      <c r="AO76" s="35">
        <v>5761</v>
      </c>
      <c r="AP76" s="35">
        <v>5741</v>
      </c>
      <c r="AQ76" s="35">
        <v>7047</v>
      </c>
      <c r="AR76" s="35">
        <v>6573</v>
      </c>
      <c r="AS76" s="35">
        <v>6976</v>
      </c>
      <c r="AT76" s="35">
        <v>4592</v>
      </c>
      <c r="AU76" s="35">
        <v>7829</v>
      </c>
      <c r="AV76" s="35">
        <v>8899</v>
      </c>
      <c r="AW76" s="35">
        <v>8218</v>
      </c>
      <c r="AX76" s="35">
        <v>6564</v>
      </c>
      <c r="AY76" s="35">
        <v>6697</v>
      </c>
      <c r="AZ76" s="35">
        <v>7760</v>
      </c>
      <c r="BA76" s="35">
        <v>6969</v>
      </c>
      <c r="BB76" s="35">
        <v>8776</v>
      </c>
      <c r="BC76" s="35">
        <v>7805</v>
      </c>
      <c r="BD76" s="35">
        <v>3777</v>
      </c>
      <c r="BE76" s="35">
        <v>4528</v>
      </c>
      <c r="BF76" s="35">
        <v>6284</v>
      </c>
      <c r="BG76" s="35">
        <v>3693</v>
      </c>
      <c r="BH76" s="35">
        <v>2106</v>
      </c>
      <c r="BI76" s="33">
        <v>6215</v>
      </c>
      <c r="BJ76" s="33">
        <v>12078</v>
      </c>
      <c r="BK76" s="33">
        <v>50442</v>
      </c>
      <c r="BL76" s="33">
        <v>22325</v>
      </c>
    </row>
    <row r="77" spans="1:64" ht="14.15" customHeight="1" x14ac:dyDescent="0.35">
      <c r="A77" s="31" t="s">
        <v>205</v>
      </c>
      <c r="B77" s="35">
        <v>1951</v>
      </c>
      <c r="C77" s="35">
        <v>2233</v>
      </c>
      <c r="D77" s="35">
        <v>2546</v>
      </c>
      <c r="E77" s="35">
        <v>2858</v>
      </c>
      <c r="F77" s="35">
        <v>3319</v>
      </c>
      <c r="G77" s="35">
        <v>3794</v>
      </c>
      <c r="H77" s="35">
        <v>4275</v>
      </c>
      <c r="I77" s="35">
        <v>4772</v>
      </c>
      <c r="J77" s="35">
        <v>5535</v>
      </c>
      <c r="K77" s="35">
        <v>6575</v>
      </c>
      <c r="L77" s="35">
        <v>7672</v>
      </c>
      <c r="M77" s="35">
        <v>8889</v>
      </c>
      <c r="N77" s="35">
        <v>10769</v>
      </c>
      <c r="O77" s="35">
        <v>13222</v>
      </c>
      <c r="P77" s="35">
        <v>15469</v>
      </c>
      <c r="Q77" s="35">
        <v>17719</v>
      </c>
      <c r="R77" s="35">
        <v>19836</v>
      </c>
      <c r="S77" s="35">
        <v>22658</v>
      </c>
      <c r="T77" s="35">
        <v>26594</v>
      </c>
      <c r="U77" s="35">
        <v>31277</v>
      </c>
      <c r="V77" s="35">
        <v>34325</v>
      </c>
      <c r="W77" s="35">
        <v>36507</v>
      </c>
      <c r="X77" s="35">
        <v>38054</v>
      </c>
      <c r="Y77" s="35">
        <v>38591</v>
      </c>
      <c r="Z77" s="35">
        <v>41363</v>
      </c>
      <c r="AA77" s="35">
        <v>43750</v>
      </c>
      <c r="AB77" s="35">
        <v>46878</v>
      </c>
      <c r="AC77" s="35">
        <v>49167</v>
      </c>
      <c r="AD77" s="35">
        <v>51983</v>
      </c>
      <c r="AE77" s="35">
        <v>56106</v>
      </c>
      <c r="AF77" s="35">
        <v>57571</v>
      </c>
      <c r="AG77" s="35">
        <v>60045</v>
      </c>
      <c r="AH77" s="35">
        <v>62483</v>
      </c>
      <c r="AI77" s="35">
        <v>65834</v>
      </c>
      <c r="AJ77" s="35">
        <v>68024</v>
      </c>
      <c r="AK77" s="35">
        <v>71490</v>
      </c>
      <c r="AL77" s="35">
        <v>73433</v>
      </c>
      <c r="AM77" s="35">
        <v>75085</v>
      </c>
      <c r="AN77" s="35">
        <v>77101</v>
      </c>
      <c r="AO77" s="35">
        <v>80922</v>
      </c>
      <c r="AP77" s="35">
        <v>83311</v>
      </c>
      <c r="AQ77" s="35">
        <v>85096</v>
      </c>
      <c r="AR77" s="35">
        <v>88697</v>
      </c>
      <c r="AS77" s="35">
        <v>93304</v>
      </c>
      <c r="AT77" s="35">
        <v>98244</v>
      </c>
      <c r="AU77" s="35">
        <v>103872</v>
      </c>
      <c r="AV77" s="35">
        <v>108896</v>
      </c>
      <c r="AW77" s="35">
        <v>117975</v>
      </c>
      <c r="AX77" s="35">
        <v>119763</v>
      </c>
      <c r="AY77" s="35">
        <v>124367</v>
      </c>
      <c r="AZ77" s="35">
        <v>122292</v>
      </c>
      <c r="BA77" s="35">
        <v>131639</v>
      </c>
      <c r="BB77" s="35">
        <v>134565</v>
      </c>
      <c r="BC77" s="35">
        <v>139123</v>
      </c>
      <c r="BD77" s="35">
        <v>144716</v>
      </c>
      <c r="BE77" s="35">
        <v>142161</v>
      </c>
      <c r="BF77" s="35">
        <v>140685</v>
      </c>
      <c r="BG77" s="35">
        <v>149619</v>
      </c>
      <c r="BH77" s="35">
        <v>153822</v>
      </c>
      <c r="BI77" s="33">
        <v>156095</v>
      </c>
      <c r="BJ77" s="33">
        <v>168692</v>
      </c>
      <c r="BK77" s="33">
        <v>179356</v>
      </c>
      <c r="BL77" s="33">
        <v>179924</v>
      </c>
    </row>
    <row r="78" spans="1:64" ht="14.15" customHeight="1" x14ac:dyDescent="0.35">
      <c r="A78" s="31" t="s">
        <v>206</v>
      </c>
      <c r="B78" s="35">
        <v>3809</v>
      </c>
      <c r="C78" s="35">
        <v>3344</v>
      </c>
      <c r="D78" s="35">
        <v>3178</v>
      </c>
      <c r="E78" s="35">
        <v>2577</v>
      </c>
      <c r="F78" s="35">
        <v>2215</v>
      </c>
      <c r="G78" s="35">
        <v>2263</v>
      </c>
      <c r="H78" s="35">
        <v>2527</v>
      </c>
      <c r="I78" s="35">
        <v>2577</v>
      </c>
      <c r="J78" s="35">
        <v>3359</v>
      </c>
      <c r="K78" s="35">
        <v>6166</v>
      </c>
      <c r="L78" s="35">
        <v>7072</v>
      </c>
      <c r="M78" s="35">
        <v>5354</v>
      </c>
      <c r="N78" s="35">
        <v>6065</v>
      </c>
      <c r="O78" s="35">
        <v>13459</v>
      </c>
      <c r="P78" s="35">
        <v>19453</v>
      </c>
      <c r="Q78" s="35">
        <v>15315</v>
      </c>
      <c r="R78" s="35">
        <v>11847</v>
      </c>
      <c r="S78" s="35">
        <v>10813</v>
      </c>
      <c r="T78" s="35">
        <v>18051</v>
      </c>
      <c r="U78" s="35">
        <v>19656</v>
      </c>
      <c r="V78" s="35">
        <v>23728</v>
      </c>
      <c r="W78" s="35">
        <v>31464</v>
      </c>
      <c r="X78" s="35">
        <v>18421</v>
      </c>
      <c r="Y78" s="35">
        <v>17475</v>
      </c>
      <c r="Z78" s="35">
        <v>17753</v>
      </c>
      <c r="AA78" s="35">
        <v>17080</v>
      </c>
      <c r="AB78" s="35">
        <v>15271</v>
      </c>
      <c r="AC78" s="35">
        <v>15616</v>
      </c>
      <c r="AD78" s="35">
        <v>18889</v>
      </c>
      <c r="AE78" s="35">
        <v>27084</v>
      </c>
      <c r="AF78" s="35">
        <v>39466</v>
      </c>
      <c r="AG78" s="35">
        <v>37802</v>
      </c>
      <c r="AH78" s="35">
        <v>28729</v>
      </c>
      <c r="AI78" s="35">
        <v>23638</v>
      </c>
      <c r="AJ78" s="35">
        <v>24898</v>
      </c>
      <c r="AK78" s="35">
        <v>22888</v>
      </c>
      <c r="AL78" s="35">
        <v>22070</v>
      </c>
      <c r="AM78" s="35">
        <v>23631</v>
      </c>
      <c r="AN78" s="35">
        <v>23012</v>
      </c>
      <c r="AO78" s="35">
        <v>30242</v>
      </c>
      <c r="AP78" s="35">
        <v>53267</v>
      </c>
      <c r="AQ78" s="35">
        <v>57054</v>
      </c>
      <c r="AR78" s="35">
        <v>44994</v>
      </c>
      <c r="AS78" s="35">
        <v>35435</v>
      </c>
      <c r="AT78" s="35">
        <v>33814</v>
      </c>
      <c r="AU78" s="35">
        <v>35107</v>
      </c>
      <c r="AV78" s="35">
        <v>45340</v>
      </c>
      <c r="AW78" s="35">
        <v>122537</v>
      </c>
      <c r="AX78" s="35">
        <v>160145</v>
      </c>
      <c r="AY78" s="35">
        <v>120556</v>
      </c>
      <c r="AZ78" s="35">
        <v>93771</v>
      </c>
      <c r="BA78" s="35">
        <v>70729</v>
      </c>
      <c r="BB78" s="35">
        <v>45717</v>
      </c>
      <c r="BC78" s="35">
        <v>34978</v>
      </c>
      <c r="BD78" s="35">
        <v>35159</v>
      </c>
      <c r="BE78" s="35">
        <v>33320</v>
      </c>
      <c r="BF78" s="35">
        <v>30948</v>
      </c>
      <c r="BG78" s="35">
        <v>29900</v>
      </c>
      <c r="BH78" s="35">
        <v>475124</v>
      </c>
      <c r="BI78" s="33">
        <v>396185</v>
      </c>
      <c r="BJ78" s="33">
        <v>36802</v>
      </c>
      <c r="BK78" s="33">
        <v>33850</v>
      </c>
      <c r="BL78" s="33">
        <v>38278</v>
      </c>
    </row>
    <row r="79" spans="1:64" ht="14.15" customHeight="1" x14ac:dyDescent="0.35">
      <c r="A79" s="31" t="s">
        <v>207</v>
      </c>
      <c r="B79" s="35">
        <v>165</v>
      </c>
      <c r="C79" s="35">
        <v>179</v>
      </c>
      <c r="D79" s="35">
        <v>150</v>
      </c>
      <c r="E79" s="35">
        <v>231</v>
      </c>
      <c r="F79" s="35">
        <v>238</v>
      </c>
      <c r="G79" s="35">
        <v>271</v>
      </c>
      <c r="H79" s="35">
        <v>312</v>
      </c>
      <c r="I79" s="35">
        <v>383</v>
      </c>
      <c r="J79" s="35">
        <v>499</v>
      </c>
      <c r="K79" s="35">
        <v>764</v>
      </c>
      <c r="L79" s="35">
        <v>1125</v>
      </c>
      <c r="M79" s="35">
        <v>1633</v>
      </c>
      <c r="N79" s="35">
        <v>1826</v>
      </c>
      <c r="O79" s="35">
        <v>2059</v>
      </c>
      <c r="P79" s="35">
        <v>2499</v>
      </c>
      <c r="Q79" s="35">
        <v>2968</v>
      </c>
      <c r="R79" s="35">
        <v>3682</v>
      </c>
      <c r="S79" s="35">
        <v>4372</v>
      </c>
      <c r="T79" s="35">
        <v>5640</v>
      </c>
      <c r="U79" s="35">
        <v>7757</v>
      </c>
      <c r="V79" s="35">
        <v>8741</v>
      </c>
      <c r="W79" s="35">
        <v>10001</v>
      </c>
      <c r="X79" s="35">
        <v>11273</v>
      </c>
      <c r="Y79" s="35">
        <v>25266</v>
      </c>
      <c r="Z79" s="35">
        <v>12386</v>
      </c>
      <c r="AA79" s="35">
        <v>12658</v>
      </c>
      <c r="AB79" s="35">
        <v>13909</v>
      </c>
      <c r="AC79" s="35">
        <v>14717</v>
      </c>
      <c r="AD79" s="35">
        <v>15907</v>
      </c>
      <c r="AE79" s="35">
        <v>17198</v>
      </c>
      <c r="AF79" s="35">
        <v>18944</v>
      </c>
      <c r="AG79" s="35">
        <v>21582</v>
      </c>
      <c r="AH79" s="35">
        <v>23941</v>
      </c>
      <c r="AI79" s="35">
        <v>27590</v>
      </c>
      <c r="AJ79" s="35">
        <v>26837</v>
      </c>
      <c r="AK79" s="35">
        <v>27881</v>
      </c>
      <c r="AL79" s="35">
        <v>28828</v>
      </c>
      <c r="AM79" s="35">
        <v>27799</v>
      </c>
      <c r="AN79" s="35">
        <v>28949</v>
      </c>
      <c r="AO79" s="35">
        <v>30250</v>
      </c>
      <c r="AP79" s="35">
        <v>33251</v>
      </c>
      <c r="AQ79" s="35">
        <v>35525</v>
      </c>
      <c r="AR79" s="35">
        <v>36790</v>
      </c>
      <c r="AS79" s="35">
        <v>37899</v>
      </c>
      <c r="AT79" s="35">
        <v>38295</v>
      </c>
      <c r="AU79" s="35">
        <v>39715</v>
      </c>
      <c r="AV79" s="35">
        <v>40556</v>
      </c>
      <c r="AW79" s="35">
        <v>50913</v>
      </c>
      <c r="AX79" s="35">
        <v>58651</v>
      </c>
      <c r="AY79" s="35">
        <v>55440</v>
      </c>
      <c r="AZ79" s="35">
        <v>47948</v>
      </c>
      <c r="BA79" s="35">
        <v>46687</v>
      </c>
      <c r="BB79" s="35">
        <v>47615</v>
      </c>
      <c r="BC79" s="35">
        <v>47823</v>
      </c>
      <c r="BD79" s="35">
        <v>49076</v>
      </c>
      <c r="BE79" s="35">
        <v>50011</v>
      </c>
      <c r="BF79" s="35">
        <v>49499</v>
      </c>
      <c r="BG79" s="35">
        <v>50552</v>
      </c>
      <c r="BH79" s="35">
        <v>52997</v>
      </c>
      <c r="BI79" s="33">
        <v>89810</v>
      </c>
      <c r="BJ79" s="33">
        <v>76463</v>
      </c>
      <c r="BK79" s="33">
        <v>67057</v>
      </c>
      <c r="BL79" s="33">
        <v>70008</v>
      </c>
    </row>
    <row r="80" spans="1:64" ht="14.15" customHeight="1" x14ac:dyDescent="0.35">
      <c r="A80" s="31" t="s">
        <v>208</v>
      </c>
      <c r="B80" s="35">
        <v>275</v>
      </c>
      <c r="C80" s="35">
        <v>284</v>
      </c>
      <c r="D80" s="35">
        <v>308</v>
      </c>
      <c r="E80" s="35">
        <v>299</v>
      </c>
      <c r="F80" s="35">
        <v>363</v>
      </c>
      <c r="G80" s="35">
        <v>418</v>
      </c>
      <c r="H80" s="35">
        <v>505</v>
      </c>
      <c r="I80" s="35">
        <v>587</v>
      </c>
      <c r="J80" s="35">
        <v>960</v>
      </c>
      <c r="K80" s="35">
        <v>2179</v>
      </c>
      <c r="L80" s="35">
        <v>3218</v>
      </c>
      <c r="M80" s="35">
        <v>3641</v>
      </c>
      <c r="N80" s="35">
        <v>4433</v>
      </c>
      <c r="O80" s="35">
        <v>6643</v>
      </c>
      <c r="P80" s="35">
        <v>7959</v>
      </c>
      <c r="Q80" s="35">
        <v>8527</v>
      </c>
      <c r="R80" s="35">
        <v>8926</v>
      </c>
      <c r="S80" s="35">
        <v>10787</v>
      </c>
      <c r="T80" s="35">
        <v>14016</v>
      </c>
      <c r="U80" s="35">
        <v>16205</v>
      </c>
      <c r="V80" s="35">
        <v>15581</v>
      </c>
      <c r="W80" s="35">
        <v>17959</v>
      </c>
      <c r="X80" s="35">
        <v>18103</v>
      </c>
      <c r="Y80" s="35">
        <v>18590</v>
      </c>
      <c r="Z80" s="35">
        <v>18652</v>
      </c>
      <c r="AA80" s="35">
        <v>18987</v>
      </c>
      <c r="AB80" s="35">
        <v>20132</v>
      </c>
      <c r="AC80" s="35">
        <v>21353</v>
      </c>
      <c r="AD80" s="35">
        <v>24131</v>
      </c>
      <c r="AE80" s="35">
        <v>28649</v>
      </c>
      <c r="AF80" s="35">
        <v>32787</v>
      </c>
      <c r="AG80" s="35">
        <v>35312</v>
      </c>
      <c r="AH80" s="35">
        <v>36892</v>
      </c>
      <c r="AI80" s="35">
        <v>37594</v>
      </c>
      <c r="AJ80" s="35">
        <v>37933</v>
      </c>
      <c r="AK80" s="35">
        <v>36061</v>
      </c>
      <c r="AL80" s="35">
        <v>33585</v>
      </c>
      <c r="AM80" s="35">
        <v>33147</v>
      </c>
      <c r="AN80" s="35">
        <v>32483</v>
      </c>
      <c r="AO80" s="35">
        <v>34053</v>
      </c>
      <c r="AP80" s="35">
        <v>38150</v>
      </c>
      <c r="AQ80" s="35">
        <v>42526</v>
      </c>
      <c r="AR80" s="35">
        <v>46012</v>
      </c>
      <c r="AS80" s="35">
        <v>50833</v>
      </c>
      <c r="AT80" s="35">
        <v>53928</v>
      </c>
      <c r="AU80" s="35">
        <v>54458</v>
      </c>
      <c r="AV80" s="35">
        <v>60673</v>
      </c>
      <c r="AW80" s="35">
        <v>79080</v>
      </c>
      <c r="AX80" s="35">
        <v>95110</v>
      </c>
      <c r="AY80" s="35">
        <v>103199</v>
      </c>
      <c r="AZ80" s="35">
        <v>106871</v>
      </c>
      <c r="BA80" s="35">
        <v>109706</v>
      </c>
      <c r="BB80" s="35">
        <v>102936</v>
      </c>
      <c r="BC80" s="35">
        <v>104797</v>
      </c>
      <c r="BD80" s="35">
        <v>102300</v>
      </c>
      <c r="BE80" s="35">
        <v>99702</v>
      </c>
      <c r="BF80" s="35">
        <v>98065</v>
      </c>
      <c r="BG80" s="35">
        <v>93587</v>
      </c>
      <c r="BH80" s="35">
        <v>115389</v>
      </c>
      <c r="BI80" s="33">
        <v>168392</v>
      </c>
      <c r="BJ80" s="33">
        <v>193932</v>
      </c>
      <c r="BK80" s="33">
        <v>172977</v>
      </c>
      <c r="BL80" s="33">
        <v>149146</v>
      </c>
    </row>
    <row r="81" spans="1:64" ht="14.15" customHeight="1" x14ac:dyDescent="0.35">
      <c r="A81" s="31" t="s">
        <v>209</v>
      </c>
      <c r="B81" s="35">
        <v>2338</v>
      </c>
      <c r="C81" s="35">
        <v>2633</v>
      </c>
      <c r="D81" s="35">
        <v>2785</v>
      </c>
      <c r="E81" s="35">
        <v>2828</v>
      </c>
      <c r="F81" s="35">
        <v>2799</v>
      </c>
      <c r="G81" s="35">
        <v>2776</v>
      </c>
      <c r="H81" s="35">
        <v>3243</v>
      </c>
      <c r="I81" s="35">
        <v>3712</v>
      </c>
      <c r="J81" s="35">
        <v>4260</v>
      </c>
      <c r="K81" s="35">
        <v>5640</v>
      </c>
      <c r="L81" s="35">
        <v>6740</v>
      </c>
      <c r="M81" s="35">
        <v>6153</v>
      </c>
      <c r="N81" s="35">
        <v>7856</v>
      </c>
      <c r="O81" s="35">
        <v>10088</v>
      </c>
      <c r="P81" s="35">
        <v>12156</v>
      </c>
      <c r="Q81" s="35">
        <v>12957</v>
      </c>
      <c r="R81" s="35">
        <v>13837</v>
      </c>
      <c r="S81" s="35">
        <v>13361</v>
      </c>
      <c r="T81" s="35">
        <v>17163</v>
      </c>
      <c r="U81" s="35">
        <v>19951</v>
      </c>
      <c r="V81" s="35">
        <v>20192</v>
      </c>
      <c r="W81" s="35">
        <v>21506</v>
      </c>
      <c r="X81" s="35">
        <v>22085</v>
      </c>
      <c r="Y81" s="35">
        <v>23464</v>
      </c>
      <c r="Z81" s="35">
        <v>25173</v>
      </c>
      <c r="AA81" s="35">
        <v>26065</v>
      </c>
      <c r="AB81" s="35">
        <v>28903</v>
      </c>
      <c r="AC81" s="35">
        <v>31050</v>
      </c>
      <c r="AD81" s="35">
        <v>32725</v>
      </c>
      <c r="AE81" s="35">
        <v>38605</v>
      </c>
      <c r="AF81" s="35">
        <v>45406</v>
      </c>
      <c r="AG81" s="35">
        <v>51002</v>
      </c>
      <c r="AH81" s="35">
        <v>59468</v>
      </c>
      <c r="AI81" s="35">
        <v>63996</v>
      </c>
      <c r="AJ81" s="35">
        <v>66773</v>
      </c>
      <c r="AK81" s="35">
        <v>71945</v>
      </c>
      <c r="AL81" s="35">
        <v>75150</v>
      </c>
      <c r="AM81" s="35">
        <v>80877</v>
      </c>
      <c r="AN81" s="35">
        <v>86939</v>
      </c>
      <c r="AO81" s="35">
        <v>88496</v>
      </c>
      <c r="AP81" s="35">
        <v>98950</v>
      </c>
      <c r="AQ81" s="35">
        <v>107326</v>
      </c>
      <c r="AR81" s="35">
        <v>109961</v>
      </c>
      <c r="AS81" s="35">
        <v>121353</v>
      </c>
      <c r="AT81" s="35">
        <v>123552</v>
      </c>
      <c r="AU81" s="35">
        <v>124950</v>
      </c>
      <c r="AV81" s="35">
        <v>166847</v>
      </c>
      <c r="AW81" s="35">
        <v>154357</v>
      </c>
      <c r="AX81" s="35">
        <v>181873</v>
      </c>
      <c r="AY81" s="35">
        <v>187010</v>
      </c>
      <c r="AZ81" s="35">
        <v>162606</v>
      </c>
      <c r="BA81" s="35">
        <v>170681</v>
      </c>
      <c r="BB81" s="35">
        <v>173987</v>
      </c>
      <c r="BC81" s="35">
        <v>174274</v>
      </c>
      <c r="BD81" s="35">
        <v>179070</v>
      </c>
      <c r="BE81" s="35">
        <v>173721</v>
      </c>
      <c r="BF81" s="35">
        <v>169808</v>
      </c>
      <c r="BG81" s="35">
        <v>187436</v>
      </c>
      <c r="BH81" s="35">
        <v>464201</v>
      </c>
      <c r="BI81" s="33">
        <v>831032</v>
      </c>
      <c r="BJ81" s="33">
        <v>378130</v>
      </c>
      <c r="BK81" s="33">
        <v>270974</v>
      </c>
      <c r="BL81" s="33">
        <v>210867</v>
      </c>
    </row>
    <row r="82" spans="1:64" ht="14.15" customHeight="1" x14ac:dyDescent="0.35">
      <c r="A82" s="31" t="s">
        <v>210</v>
      </c>
      <c r="B82" s="36">
        <v>9198</v>
      </c>
      <c r="C82" s="36">
        <v>9304</v>
      </c>
      <c r="D82" s="36">
        <v>9650</v>
      </c>
      <c r="E82" s="36">
        <v>9462</v>
      </c>
      <c r="F82" s="36">
        <v>9671</v>
      </c>
      <c r="G82" s="36">
        <v>10253</v>
      </c>
      <c r="H82" s="36">
        <v>11806</v>
      </c>
      <c r="I82" s="36">
        <v>13066</v>
      </c>
      <c r="J82" s="36">
        <v>15645</v>
      </c>
      <c r="K82" s="36">
        <v>22936</v>
      </c>
      <c r="L82" s="36">
        <v>27638</v>
      </c>
      <c r="M82" s="36">
        <v>28265</v>
      </c>
      <c r="N82" s="36">
        <v>33700</v>
      </c>
      <c r="O82" s="36">
        <v>50161</v>
      </c>
      <c r="P82" s="36">
        <v>60784</v>
      </c>
      <c r="Q82" s="36">
        <v>61045</v>
      </c>
      <c r="R82" s="36">
        <v>61492</v>
      </c>
      <c r="S82" s="36">
        <v>66364</v>
      </c>
      <c r="T82" s="36">
        <v>86548</v>
      </c>
      <c r="U82" s="36">
        <v>100286</v>
      </c>
      <c r="V82" s="36">
        <v>108138</v>
      </c>
      <c r="W82" s="36">
        <v>123018</v>
      </c>
      <c r="X82" s="36">
        <v>113378</v>
      </c>
      <c r="Y82" s="36">
        <v>129002</v>
      </c>
      <c r="Z82" s="36">
        <v>120656</v>
      </c>
      <c r="AA82" s="36">
        <v>124105</v>
      </c>
      <c r="AB82" s="36">
        <v>130387</v>
      </c>
      <c r="AC82" s="36">
        <v>137554</v>
      </c>
      <c r="AD82" s="36">
        <v>148783</v>
      </c>
      <c r="AE82" s="36">
        <v>172589</v>
      </c>
      <c r="AF82" s="36">
        <v>199657</v>
      </c>
      <c r="AG82" s="36">
        <v>210088</v>
      </c>
      <c r="AH82" s="36">
        <v>217233</v>
      </c>
      <c r="AI82" s="36">
        <v>223758</v>
      </c>
      <c r="AJ82" s="36">
        <v>229699</v>
      </c>
      <c r="AK82" s="36">
        <v>234986</v>
      </c>
      <c r="AL82" s="36">
        <v>237698</v>
      </c>
      <c r="AM82" s="36">
        <v>242417</v>
      </c>
      <c r="AN82" s="36">
        <v>253673</v>
      </c>
      <c r="AO82" s="36">
        <v>269724</v>
      </c>
      <c r="AP82" s="36">
        <v>312670</v>
      </c>
      <c r="AQ82" s="36">
        <v>334574</v>
      </c>
      <c r="AR82" s="36">
        <v>333027</v>
      </c>
      <c r="AS82" s="36">
        <v>345800</v>
      </c>
      <c r="AT82" s="36">
        <v>352425</v>
      </c>
      <c r="AU82" s="36">
        <v>365931</v>
      </c>
      <c r="AV82" s="36">
        <v>431211</v>
      </c>
      <c r="AW82" s="36">
        <v>533080</v>
      </c>
      <c r="AX82" s="36">
        <v>622106</v>
      </c>
      <c r="AY82" s="36">
        <v>597269</v>
      </c>
      <c r="AZ82" s="36">
        <v>541248</v>
      </c>
      <c r="BA82" s="36">
        <v>536411</v>
      </c>
      <c r="BB82" s="36">
        <v>513596</v>
      </c>
      <c r="BC82" s="36">
        <v>508800</v>
      </c>
      <c r="BD82" s="36">
        <v>514098</v>
      </c>
      <c r="BE82" s="36">
        <v>503443</v>
      </c>
      <c r="BF82" s="36">
        <v>495289</v>
      </c>
      <c r="BG82" s="36">
        <v>514787</v>
      </c>
      <c r="BH82" s="36">
        <v>1263639</v>
      </c>
      <c r="BI82" s="34">
        <v>1647729</v>
      </c>
      <c r="BJ82" s="34">
        <v>866097</v>
      </c>
      <c r="BK82" s="34">
        <v>774656</v>
      </c>
      <c r="BL82" s="34">
        <v>670548</v>
      </c>
    </row>
    <row r="83" spans="1:64" ht="14.15" customHeight="1" x14ac:dyDescent="0.35">
      <c r="A83" s="28" t="s">
        <v>211</v>
      </c>
      <c r="B83" s="29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J83" s="22"/>
      <c r="BK83" s="22"/>
      <c r="BL83" s="22"/>
    </row>
    <row r="84" spans="1:64" ht="14.15" customHeight="1" x14ac:dyDescent="0.35">
      <c r="A84" s="31" t="s">
        <v>212</v>
      </c>
      <c r="B84" s="35">
        <v>14365</v>
      </c>
      <c r="C84" s="35">
        <v>15788</v>
      </c>
      <c r="D84" s="35">
        <v>16620</v>
      </c>
      <c r="E84" s="35">
        <v>17460</v>
      </c>
      <c r="F84" s="35">
        <v>20694</v>
      </c>
      <c r="G84" s="35">
        <v>21725</v>
      </c>
      <c r="H84" s="35">
        <v>23854</v>
      </c>
      <c r="I84" s="35">
        <v>27298</v>
      </c>
      <c r="J84" s="35">
        <v>30270</v>
      </c>
      <c r="K84" s="35">
        <v>35872</v>
      </c>
      <c r="L84" s="35">
        <v>40157</v>
      </c>
      <c r="M84" s="35">
        <v>49090</v>
      </c>
      <c r="N84" s="35">
        <v>55867</v>
      </c>
      <c r="O84" s="35">
        <v>64658</v>
      </c>
      <c r="P84" s="35">
        <v>73899</v>
      </c>
      <c r="Q84" s="35">
        <v>85061</v>
      </c>
      <c r="R84" s="35">
        <v>93861</v>
      </c>
      <c r="S84" s="35">
        <v>104073</v>
      </c>
      <c r="T84" s="35">
        <v>118547</v>
      </c>
      <c r="U84" s="35">
        <v>139584</v>
      </c>
      <c r="V84" s="35">
        <v>155964</v>
      </c>
      <c r="W84" s="35">
        <v>170724</v>
      </c>
      <c r="X84" s="35">
        <v>178223</v>
      </c>
      <c r="Y84" s="35">
        <v>188623</v>
      </c>
      <c r="Z84" s="35">
        <v>198756</v>
      </c>
      <c r="AA84" s="35">
        <v>207352</v>
      </c>
      <c r="AB84" s="35">
        <v>219341</v>
      </c>
      <c r="AC84" s="35">
        <v>232542</v>
      </c>
      <c r="AD84" s="35">
        <v>248623</v>
      </c>
      <c r="AE84" s="35">
        <v>269014</v>
      </c>
      <c r="AF84" s="35">
        <v>287584</v>
      </c>
      <c r="AG84" s="35">
        <v>304585</v>
      </c>
      <c r="AH84" s="35">
        <v>319565</v>
      </c>
      <c r="AI84" s="35">
        <v>335846</v>
      </c>
      <c r="AJ84" s="35">
        <v>349671</v>
      </c>
      <c r="AK84" s="35">
        <v>365251</v>
      </c>
      <c r="AL84" s="35">
        <v>379215</v>
      </c>
      <c r="AM84" s="35">
        <v>390037</v>
      </c>
      <c r="AN84" s="35">
        <v>409423</v>
      </c>
      <c r="AO84" s="35">
        <v>432958</v>
      </c>
      <c r="AP84" s="35">
        <v>455980</v>
      </c>
      <c r="AQ84" s="35">
        <v>474680</v>
      </c>
      <c r="AR84" s="35">
        <v>495548</v>
      </c>
      <c r="AS84" s="35">
        <v>523305</v>
      </c>
      <c r="AT84" s="35">
        <v>548549</v>
      </c>
      <c r="AU84" s="35">
        <v>586153</v>
      </c>
      <c r="AV84" s="35">
        <v>617027</v>
      </c>
      <c r="AW84" s="35">
        <v>682963</v>
      </c>
      <c r="AX84" s="35">
        <v>706737</v>
      </c>
      <c r="AY84" s="35">
        <v>730811</v>
      </c>
      <c r="AZ84" s="35">
        <v>773290</v>
      </c>
      <c r="BA84" s="35">
        <v>813551</v>
      </c>
      <c r="BB84" s="35">
        <v>850533</v>
      </c>
      <c r="BC84" s="35">
        <v>887753</v>
      </c>
      <c r="BD84" s="35">
        <v>916067</v>
      </c>
      <c r="BE84" s="35">
        <v>944878</v>
      </c>
      <c r="BF84" s="35">
        <v>987791</v>
      </c>
      <c r="BG84" s="35">
        <v>1044409</v>
      </c>
      <c r="BH84" s="35">
        <v>1095816</v>
      </c>
      <c r="BI84" s="33">
        <v>1134586</v>
      </c>
      <c r="BJ84" s="33">
        <v>1218663</v>
      </c>
      <c r="BK84" s="33">
        <v>1354317</v>
      </c>
      <c r="BL84" s="33">
        <v>1460918</v>
      </c>
    </row>
    <row r="85" spans="1:64" ht="14.15" customHeight="1" x14ac:dyDescent="0.35">
      <c r="A85" s="28" t="s">
        <v>213</v>
      </c>
      <c r="B85" s="29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J85" s="22"/>
      <c r="BK85" s="22"/>
      <c r="BL85" s="22"/>
    </row>
    <row r="86" spans="1:64" ht="14.15" customHeight="1" x14ac:dyDescent="0.35">
      <c r="A86" s="31" t="s">
        <v>214</v>
      </c>
      <c r="B86" s="35">
        <v>3978</v>
      </c>
      <c r="C86" s="35">
        <v>4215</v>
      </c>
      <c r="D86" s="35">
        <v>4155</v>
      </c>
      <c r="E86" s="35">
        <v>4223</v>
      </c>
      <c r="F86" s="35">
        <v>4192</v>
      </c>
      <c r="G86" s="35">
        <v>4554</v>
      </c>
      <c r="H86" s="35">
        <v>4678</v>
      </c>
      <c r="I86" s="35">
        <v>5051</v>
      </c>
      <c r="J86" s="35">
        <v>5562</v>
      </c>
      <c r="K86" s="35">
        <v>5983</v>
      </c>
      <c r="L86" s="35">
        <v>6366</v>
      </c>
      <c r="M86" s="35">
        <v>6552</v>
      </c>
      <c r="N86" s="35">
        <v>6809</v>
      </c>
      <c r="O86" s="35">
        <v>7893</v>
      </c>
      <c r="P86" s="35">
        <v>8384</v>
      </c>
      <c r="Q86" s="35">
        <v>9245</v>
      </c>
      <c r="R86" s="35">
        <v>9776</v>
      </c>
      <c r="S86" s="35">
        <v>10810</v>
      </c>
      <c r="T86" s="35">
        <v>11717</v>
      </c>
      <c r="U86" s="35">
        <v>12939</v>
      </c>
      <c r="V86" s="35">
        <v>13743</v>
      </c>
      <c r="W86" s="35">
        <v>14286</v>
      </c>
      <c r="X86" s="35">
        <v>14438</v>
      </c>
      <c r="Y86" s="35">
        <v>14758</v>
      </c>
      <c r="Z86" s="35">
        <v>15076</v>
      </c>
      <c r="AA86" s="35">
        <v>15010</v>
      </c>
      <c r="AB86" s="35">
        <v>16022</v>
      </c>
      <c r="AC86" s="35">
        <v>16597</v>
      </c>
      <c r="AD86" s="35">
        <v>15315</v>
      </c>
      <c r="AE86" s="35">
        <v>17025</v>
      </c>
      <c r="AF86" s="35">
        <v>17392</v>
      </c>
      <c r="AG86" s="35">
        <v>17829</v>
      </c>
      <c r="AH86" s="35">
        <v>19696</v>
      </c>
      <c r="AI86" s="35">
        <v>19041</v>
      </c>
      <c r="AJ86" s="35">
        <v>18275</v>
      </c>
      <c r="AK86" s="35">
        <v>20484</v>
      </c>
      <c r="AL86" s="35">
        <v>21402</v>
      </c>
      <c r="AM86" s="35">
        <v>22245</v>
      </c>
      <c r="AN86" s="35">
        <v>24958</v>
      </c>
      <c r="AO86" s="35">
        <v>22548</v>
      </c>
      <c r="AP86" s="35">
        <v>26770</v>
      </c>
      <c r="AQ86" s="35">
        <v>28939</v>
      </c>
      <c r="AR86" s="35">
        <v>30832</v>
      </c>
      <c r="AS86" s="35">
        <v>35759</v>
      </c>
      <c r="AT86" s="35">
        <v>35792</v>
      </c>
      <c r="AU86" s="35">
        <v>35694</v>
      </c>
      <c r="AV86" s="35">
        <v>41396</v>
      </c>
      <c r="AW86" s="35">
        <v>46068</v>
      </c>
      <c r="AX86" s="35">
        <v>49257</v>
      </c>
      <c r="AY86" s="35">
        <v>58827</v>
      </c>
      <c r="AZ86" s="35">
        <v>55983</v>
      </c>
      <c r="BA86" s="35">
        <v>65990</v>
      </c>
      <c r="BB86" s="35">
        <v>70911</v>
      </c>
      <c r="BC86" s="35">
        <v>76403</v>
      </c>
      <c r="BD86" s="35">
        <v>86837</v>
      </c>
      <c r="BE86" s="35">
        <v>86134</v>
      </c>
      <c r="BF86" s="35">
        <v>85574</v>
      </c>
      <c r="BG86" s="35">
        <v>101105</v>
      </c>
      <c r="BH86" s="35">
        <v>110055</v>
      </c>
      <c r="BI86" s="33">
        <v>115828</v>
      </c>
      <c r="BJ86" s="33">
        <v>139926</v>
      </c>
      <c r="BK86" s="33">
        <v>151121</v>
      </c>
      <c r="BL86" s="33">
        <v>161312</v>
      </c>
    </row>
    <row r="87" spans="1:64" ht="14.15" customHeight="1" x14ac:dyDescent="0.35">
      <c r="A87" s="31" t="s">
        <v>215</v>
      </c>
      <c r="B87" s="35">
        <v>151</v>
      </c>
      <c r="C87" s="35">
        <v>95</v>
      </c>
      <c r="D87" s="35">
        <v>71</v>
      </c>
      <c r="E87" s="35">
        <v>52</v>
      </c>
      <c r="F87" s="35">
        <v>51</v>
      </c>
      <c r="G87" s="35">
        <v>300</v>
      </c>
      <c r="H87" s="35">
        <v>470</v>
      </c>
      <c r="I87" s="35">
        <v>691</v>
      </c>
      <c r="J87" s="35">
        <v>1002</v>
      </c>
      <c r="K87" s="35">
        <v>1644</v>
      </c>
      <c r="L87" s="35">
        <v>1942</v>
      </c>
      <c r="M87" s="35">
        <v>2781</v>
      </c>
      <c r="N87" s="35">
        <v>3233</v>
      </c>
      <c r="O87" s="35">
        <v>4561</v>
      </c>
      <c r="P87" s="35">
        <v>5498</v>
      </c>
      <c r="Q87" s="35">
        <v>3683</v>
      </c>
      <c r="R87" s="35">
        <v>3337</v>
      </c>
      <c r="S87" s="35">
        <v>2725</v>
      </c>
      <c r="T87" s="35">
        <v>2310</v>
      </c>
      <c r="U87" s="35">
        <v>2226</v>
      </c>
      <c r="V87" s="35">
        <v>1917</v>
      </c>
      <c r="W87" s="35">
        <v>1598</v>
      </c>
      <c r="X87" s="35">
        <v>1333</v>
      </c>
      <c r="Y87" s="35">
        <v>1029</v>
      </c>
      <c r="Z87" s="35">
        <v>496</v>
      </c>
      <c r="AA87" s="35">
        <v>424</v>
      </c>
      <c r="AB87" s="35">
        <v>424</v>
      </c>
      <c r="AC87" s="35">
        <v>426</v>
      </c>
      <c r="AD87" s="35">
        <v>245</v>
      </c>
      <c r="AE87" s="35">
        <v>393</v>
      </c>
      <c r="AF87" s="35">
        <v>746</v>
      </c>
      <c r="AG87" s="35">
        <v>788</v>
      </c>
      <c r="AH87" s="35">
        <v>1075</v>
      </c>
      <c r="AI87" s="35">
        <v>1082</v>
      </c>
      <c r="AJ87" s="35">
        <v>1073</v>
      </c>
      <c r="AK87" s="35">
        <v>1113</v>
      </c>
      <c r="AL87" s="35">
        <v>1058</v>
      </c>
      <c r="AM87" s="35">
        <v>1222</v>
      </c>
      <c r="AN87" s="35">
        <v>1285</v>
      </c>
      <c r="AO87" s="35">
        <v>1193</v>
      </c>
      <c r="AP87" s="35">
        <v>1726</v>
      </c>
      <c r="AQ87" s="35">
        <v>2106</v>
      </c>
      <c r="AR87" s="35">
        <v>2562</v>
      </c>
      <c r="AS87" s="35">
        <v>2790</v>
      </c>
      <c r="AT87" s="35">
        <v>2638</v>
      </c>
      <c r="AU87" s="35">
        <v>2713</v>
      </c>
      <c r="AV87" s="35">
        <v>2730</v>
      </c>
      <c r="AW87" s="35">
        <v>3495</v>
      </c>
      <c r="AX87" s="35">
        <v>8089</v>
      </c>
      <c r="AY87" s="35">
        <v>10683</v>
      </c>
      <c r="AZ87" s="35">
        <v>10402</v>
      </c>
      <c r="BA87" s="35">
        <v>12893</v>
      </c>
      <c r="BB87" s="35">
        <v>13506</v>
      </c>
      <c r="BC87" s="35">
        <v>13383</v>
      </c>
      <c r="BD87" s="35">
        <v>14354</v>
      </c>
      <c r="BE87" s="35">
        <v>13320</v>
      </c>
      <c r="BF87" s="35">
        <v>12401</v>
      </c>
      <c r="BG87" s="35">
        <v>13094</v>
      </c>
      <c r="BH87" s="35">
        <v>12847</v>
      </c>
      <c r="BI87" s="33">
        <v>12044</v>
      </c>
      <c r="BJ87" s="33">
        <v>11936</v>
      </c>
      <c r="BK87" s="33">
        <v>12582</v>
      </c>
      <c r="BL87" s="33">
        <v>13554</v>
      </c>
    </row>
    <row r="88" spans="1:64" ht="14.15" customHeight="1" x14ac:dyDescent="0.35">
      <c r="A88" s="31" t="s">
        <v>216</v>
      </c>
      <c r="B88" s="35">
        <v>1084</v>
      </c>
      <c r="C88" s="35">
        <v>1145</v>
      </c>
      <c r="D88" s="35">
        <v>1229</v>
      </c>
      <c r="E88" s="35">
        <v>1269</v>
      </c>
      <c r="F88" s="35">
        <v>1318</v>
      </c>
      <c r="G88" s="35">
        <v>1390</v>
      </c>
      <c r="H88" s="35">
        <v>1468</v>
      </c>
      <c r="I88" s="35">
        <v>1562</v>
      </c>
      <c r="J88" s="35">
        <v>1798</v>
      </c>
      <c r="K88" s="35">
        <v>2034</v>
      </c>
      <c r="L88" s="35">
        <v>2423</v>
      </c>
      <c r="M88" s="35">
        <v>2710</v>
      </c>
      <c r="N88" s="35">
        <v>3004</v>
      </c>
      <c r="O88" s="35">
        <v>3663</v>
      </c>
      <c r="P88" s="35">
        <v>4044</v>
      </c>
      <c r="Q88" s="35">
        <v>4706</v>
      </c>
      <c r="R88" s="35">
        <v>5252</v>
      </c>
      <c r="S88" s="35">
        <v>5611</v>
      </c>
      <c r="T88" s="35">
        <v>6513</v>
      </c>
      <c r="U88" s="35">
        <v>6964</v>
      </c>
      <c r="V88" s="35">
        <v>7517</v>
      </c>
      <c r="W88" s="35">
        <v>8272</v>
      </c>
      <c r="X88" s="35">
        <v>8860</v>
      </c>
      <c r="Y88" s="35">
        <v>9546</v>
      </c>
      <c r="Z88" s="35">
        <v>9871</v>
      </c>
      <c r="AA88" s="35">
        <v>10266</v>
      </c>
      <c r="AB88" s="35">
        <v>10841</v>
      </c>
      <c r="AC88" s="35">
        <v>11342</v>
      </c>
      <c r="AD88" s="35">
        <v>12133</v>
      </c>
      <c r="AE88" s="35">
        <v>12889</v>
      </c>
      <c r="AF88" s="35">
        <v>14091</v>
      </c>
      <c r="AG88" s="35">
        <v>14812</v>
      </c>
      <c r="AH88" s="35">
        <v>15677</v>
      </c>
      <c r="AI88" s="35">
        <v>16428</v>
      </c>
      <c r="AJ88" s="35">
        <v>16586</v>
      </c>
      <c r="AK88" s="35">
        <v>17093</v>
      </c>
      <c r="AL88" s="35">
        <v>17545</v>
      </c>
      <c r="AM88" s="35">
        <v>18168</v>
      </c>
      <c r="AN88" s="35">
        <v>19516</v>
      </c>
      <c r="AO88" s="35">
        <v>20959</v>
      </c>
      <c r="AP88" s="35">
        <v>22290</v>
      </c>
      <c r="AQ88" s="35">
        <v>24082</v>
      </c>
      <c r="AR88" s="35">
        <v>26859</v>
      </c>
      <c r="AS88" s="35">
        <v>28754</v>
      </c>
      <c r="AT88" s="35">
        <v>29888</v>
      </c>
      <c r="AU88" s="35">
        <v>32294</v>
      </c>
      <c r="AV88" s="35">
        <v>36974</v>
      </c>
      <c r="AW88" s="35">
        <v>41882</v>
      </c>
      <c r="AX88" s="35">
        <v>45714</v>
      </c>
      <c r="AY88" s="35">
        <v>50062</v>
      </c>
      <c r="AZ88" s="35">
        <v>50558</v>
      </c>
      <c r="BA88" s="35">
        <v>52520</v>
      </c>
      <c r="BB88" s="35">
        <v>56200</v>
      </c>
      <c r="BC88" s="35">
        <v>61893</v>
      </c>
      <c r="BD88" s="35">
        <v>65248</v>
      </c>
      <c r="BE88" s="35">
        <v>69732</v>
      </c>
      <c r="BF88" s="35">
        <v>73941</v>
      </c>
      <c r="BG88" s="35">
        <v>80321</v>
      </c>
      <c r="BH88" s="35">
        <v>90594</v>
      </c>
      <c r="BI88" s="33">
        <v>99864</v>
      </c>
      <c r="BJ88" s="33">
        <v>110706</v>
      </c>
      <c r="BK88" s="33">
        <v>125512</v>
      </c>
      <c r="BL88" s="33">
        <v>138543</v>
      </c>
    </row>
    <row r="89" spans="1:64" ht="14.15" customHeight="1" x14ac:dyDescent="0.35">
      <c r="A89" s="31" t="s">
        <v>217</v>
      </c>
      <c r="B89" s="35">
        <v>242</v>
      </c>
      <c r="C89" s="35">
        <v>-104</v>
      </c>
      <c r="D89" s="35">
        <v>49</v>
      </c>
      <c r="E89" s="35">
        <v>5</v>
      </c>
      <c r="F89" s="35">
        <v>173</v>
      </c>
      <c r="G89" s="35">
        <v>308</v>
      </c>
      <c r="H89" s="35">
        <v>215</v>
      </c>
      <c r="I89" s="35">
        <v>107</v>
      </c>
      <c r="J89" s="35">
        <v>62</v>
      </c>
      <c r="K89" s="35">
        <v>-171</v>
      </c>
      <c r="L89" s="35">
        <v>-310</v>
      </c>
      <c r="M89" s="35">
        <v>-368</v>
      </c>
      <c r="N89" s="35">
        <v>-4</v>
      </c>
      <c r="O89" s="35">
        <v>39</v>
      </c>
      <c r="P89" s="35">
        <v>-58</v>
      </c>
      <c r="Q89" s="35">
        <v>-131</v>
      </c>
      <c r="R89" s="35">
        <v>43</v>
      </c>
      <c r="S89" s="35">
        <v>176</v>
      </c>
      <c r="T89" s="35">
        <v>-4</v>
      </c>
      <c r="U89" s="35">
        <v>217</v>
      </c>
      <c r="V89" s="35">
        <v>120</v>
      </c>
      <c r="W89" s="35">
        <v>17</v>
      </c>
      <c r="X89" s="35">
        <v>257</v>
      </c>
      <c r="Y89" s="35">
        <v>230</v>
      </c>
      <c r="Z89" s="35">
        <v>128</v>
      </c>
      <c r="AA89" s="35">
        <v>344</v>
      </c>
      <c r="AB89" s="35">
        <v>1305</v>
      </c>
      <c r="AC89" s="35">
        <v>892</v>
      </c>
      <c r="AD89" s="35">
        <v>530</v>
      </c>
      <c r="AE89" s="35">
        <v>100</v>
      </c>
      <c r="AF89" s="35">
        <v>917</v>
      </c>
      <c r="AG89" s="35">
        <v>1314</v>
      </c>
      <c r="AH89" s="35">
        <v>212</v>
      </c>
      <c r="AI89" s="35">
        <v>344</v>
      </c>
      <c r="AJ89" s="35">
        <v>80</v>
      </c>
      <c r="AK89" s="35">
        <v>-327</v>
      </c>
      <c r="AL89" s="35">
        <v>853</v>
      </c>
      <c r="AM89" s="35">
        <v>580</v>
      </c>
      <c r="AN89" s="35">
        <v>364</v>
      </c>
      <c r="AO89" s="35">
        <v>-904</v>
      </c>
      <c r="AP89" s="35">
        <v>-1006</v>
      </c>
      <c r="AQ89" s="35">
        <v>505</v>
      </c>
      <c r="AR89" s="35">
        <v>-1982</v>
      </c>
      <c r="AS89" s="35">
        <v>860</v>
      </c>
      <c r="AT89" s="35">
        <v>-1242</v>
      </c>
      <c r="AU89" s="35">
        <v>-868</v>
      </c>
      <c r="AV89" s="35">
        <v>-419</v>
      </c>
      <c r="AW89" s="35">
        <v>-578</v>
      </c>
      <c r="AX89" s="35">
        <v>540</v>
      </c>
      <c r="AY89" s="35">
        <v>1262</v>
      </c>
      <c r="AZ89" s="35">
        <v>1413</v>
      </c>
      <c r="BA89" s="35">
        <v>1328</v>
      </c>
      <c r="BB89" s="35">
        <v>2143</v>
      </c>
      <c r="BC89" s="35">
        <v>743</v>
      </c>
      <c r="BD89" s="35">
        <v>804</v>
      </c>
      <c r="BE89" s="35">
        <v>-546</v>
      </c>
      <c r="BF89" s="35">
        <v>-1295</v>
      </c>
      <c r="BG89" s="35">
        <v>-3111</v>
      </c>
      <c r="BH89" s="35">
        <v>-3420</v>
      </c>
      <c r="BI89" s="33">
        <v>-3416</v>
      </c>
      <c r="BJ89" s="33">
        <v>1591</v>
      </c>
      <c r="BK89" s="33">
        <v>429</v>
      </c>
      <c r="BL89" s="33">
        <v>-3520</v>
      </c>
    </row>
    <row r="90" spans="1:64" ht="14.15" customHeight="1" x14ac:dyDescent="0.35">
      <c r="A90" s="31" t="s">
        <v>218</v>
      </c>
      <c r="B90" s="35">
        <v>172</v>
      </c>
      <c r="C90" s="35">
        <v>171</v>
      </c>
      <c r="D90" s="35">
        <v>179</v>
      </c>
      <c r="E90" s="35">
        <v>173</v>
      </c>
      <c r="F90" s="35">
        <v>188</v>
      </c>
      <c r="G90" s="35">
        <v>190</v>
      </c>
      <c r="H90" s="35">
        <v>212</v>
      </c>
      <c r="I90" s="35">
        <v>230</v>
      </c>
      <c r="J90" s="35">
        <v>255</v>
      </c>
      <c r="K90" s="35">
        <v>287</v>
      </c>
      <c r="L90" s="35">
        <v>310</v>
      </c>
      <c r="M90" s="35">
        <v>340</v>
      </c>
      <c r="N90" s="35">
        <v>347</v>
      </c>
      <c r="O90" s="35">
        <v>444</v>
      </c>
      <c r="P90" s="35">
        <v>565</v>
      </c>
      <c r="Q90" s="35">
        <v>536</v>
      </c>
      <c r="R90" s="35">
        <v>571</v>
      </c>
      <c r="S90" s="35">
        <v>609</v>
      </c>
      <c r="T90" s="35">
        <v>649</v>
      </c>
      <c r="U90" s="35">
        <v>645</v>
      </c>
      <c r="V90" s="35">
        <v>662</v>
      </c>
      <c r="W90" s="35">
        <v>673</v>
      </c>
      <c r="X90" s="35">
        <v>712</v>
      </c>
      <c r="Y90" s="35">
        <v>718</v>
      </c>
      <c r="Z90" s="35">
        <v>772</v>
      </c>
      <c r="AA90" s="35">
        <v>717</v>
      </c>
      <c r="AB90" s="35">
        <v>816</v>
      </c>
      <c r="AC90" s="35">
        <v>780</v>
      </c>
      <c r="AD90" s="35">
        <v>865</v>
      </c>
      <c r="AE90" s="35">
        <v>913</v>
      </c>
      <c r="AF90" s="35">
        <v>966</v>
      </c>
      <c r="AG90" s="35">
        <v>947</v>
      </c>
      <c r="AH90" s="35">
        <v>957</v>
      </c>
      <c r="AI90" s="35">
        <v>1015</v>
      </c>
      <c r="AJ90" s="35">
        <v>989</v>
      </c>
      <c r="AK90" s="35">
        <v>969</v>
      </c>
      <c r="AL90" s="35">
        <v>935</v>
      </c>
      <c r="AM90" s="35">
        <v>1001</v>
      </c>
      <c r="AN90" s="35">
        <v>917</v>
      </c>
      <c r="AO90" s="35">
        <v>1228</v>
      </c>
      <c r="AP90" s="35">
        <v>1199</v>
      </c>
      <c r="AQ90" s="35">
        <v>1200</v>
      </c>
      <c r="AR90" s="35">
        <v>1458</v>
      </c>
      <c r="AS90" s="35">
        <v>1949</v>
      </c>
      <c r="AT90" s="35">
        <v>2756</v>
      </c>
      <c r="AU90" s="35">
        <v>2995</v>
      </c>
      <c r="AV90" s="35">
        <v>4030</v>
      </c>
      <c r="AW90" s="35">
        <v>4678</v>
      </c>
      <c r="AX90" s="35">
        <v>4878</v>
      </c>
      <c r="AY90" s="35">
        <v>6435</v>
      </c>
      <c r="AZ90" s="35">
        <v>6323</v>
      </c>
      <c r="BA90" s="35">
        <v>6307</v>
      </c>
      <c r="BB90" s="35">
        <v>6861</v>
      </c>
      <c r="BC90" s="35">
        <v>7359</v>
      </c>
      <c r="BD90" s="35">
        <v>7314</v>
      </c>
      <c r="BE90" s="35">
        <v>7944</v>
      </c>
      <c r="BF90" s="35">
        <v>8274</v>
      </c>
      <c r="BG90" s="35">
        <v>8434</v>
      </c>
      <c r="BH90" s="35">
        <v>8579</v>
      </c>
      <c r="BI90" s="33">
        <v>9962</v>
      </c>
      <c r="BJ90" s="33">
        <v>10245</v>
      </c>
      <c r="BK90" s="33">
        <v>11956</v>
      </c>
      <c r="BL90" s="33">
        <v>15748</v>
      </c>
    </row>
    <row r="91" spans="1:64" ht="14.15" customHeight="1" x14ac:dyDescent="0.35">
      <c r="A91" s="31" t="s">
        <v>219</v>
      </c>
      <c r="B91" s="36">
        <v>5628</v>
      </c>
      <c r="C91" s="36">
        <v>5521</v>
      </c>
      <c r="D91" s="36">
        <v>5682</v>
      </c>
      <c r="E91" s="36">
        <v>5723</v>
      </c>
      <c r="F91" s="36">
        <v>5923</v>
      </c>
      <c r="G91" s="36">
        <v>6743</v>
      </c>
      <c r="H91" s="36">
        <v>7042</v>
      </c>
      <c r="I91" s="36">
        <v>7642</v>
      </c>
      <c r="J91" s="36">
        <v>8679</v>
      </c>
      <c r="K91" s="36">
        <v>9778</v>
      </c>
      <c r="L91" s="36">
        <v>10732</v>
      </c>
      <c r="M91" s="36">
        <v>12015</v>
      </c>
      <c r="N91" s="36">
        <v>13388</v>
      </c>
      <c r="O91" s="36">
        <v>16599</v>
      </c>
      <c r="P91" s="36">
        <v>18433</v>
      </c>
      <c r="Q91" s="36">
        <v>18038</v>
      </c>
      <c r="R91" s="36">
        <v>18978</v>
      </c>
      <c r="S91" s="36">
        <v>19931</v>
      </c>
      <c r="T91" s="36">
        <v>21185</v>
      </c>
      <c r="U91" s="36">
        <v>22991</v>
      </c>
      <c r="V91" s="36">
        <v>23958</v>
      </c>
      <c r="W91" s="36">
        <v>24846</v>
      </c>
      <c r="X91" s="36">
        <v>25601</v>
      </c>
      <c r="Y91" s="36">
        <v>26281</v>
      </c>
      <c r="Z91" s="36">
        <v>26343</v>
      </c>
      <c r="AA91" s="36">
        <v>26761</v>
      </c>
      <c r="AB91" s="36">
        <v>29409</v>
      </c>
      <c r="AC91" s="36">
        <v>30038</v>
      </c>
      <c r="AD91" s="36">
        <v>29088</v>
      </c>
      <c r="AE91" s="36">
        <v>31319</v>
      </c>
      <c r="AF91" s="36">
        <v>34112</v>
      </c>
      <c r="AG91" s="36">
        <v>35690</v>
      </c>
      <c r="AH91" s="36">
        <v>37617</v>
      </c>
      <c r="AI91" s="36">
        <v>37910</v>
      </c>
      <c r="AJ91" s="36">
        <v>37003</v>
      </c>
      <c r="AK91" s="36">
        <v>39332</v>
      </c>
      <c r="AL91" s="36">
        <v>41793</v>
      </c>
      <c r="AM91" s="36">
        <v>43216</v>
      </c>
      <c r="AN91" s="36">
        <v>47040</v>
      </c>
      <c r="AO91" s="36">
        <v>45024</v>
      </c>
      <c r="AP91" s="36">
        <v>50979</v>
      </c>
      <c r="AQ91" s="36">
        <v>56832</v>
      </c>
      <c r="AR91" s="36">
        <v>59729</v>
      </c>
      <c r="AS91" s="36">
        <v>70112</v>
      </c>
      <c r="AT91" s="36">
        <v>69832</v>
      </c>
      <c r="AU91" s="36">
        <v>72828</v>
      </c>
      <c r="AV91" s="36">
        <v>84711</v>
      </c>
      <c r="AW91" s="36">
        <v>95545</v>
      </c>
      <c r="AX91" s="36">
        <v>108478</v>
      </c>
      <c r="AY91" s="36">
        <v>127269</v>
      </c>
      <c r="AZ91" s="36">
        <v>124679</v>
      </c>
      <c r="BA91" s="36">
        <v>139038</v>
      </c>
      <c r="BB91" s="36">
        <v>149621</v>
      </c>
      <c r="BC91" s="36">
        <v>159781</v>
      </c>
      <c r="BD91" s="36">
        <v>174557</v>
      </c>
      <c r="BE91" s="36">
        <v>176584</v>
      </c>
      <c r="BF91" s="36">
        <v>178895</v>
      </c>
      <c r="BG91" s="36">
        <v>199843</v>
      </c>
      <c r="BH91" s="36">
        <v>218655</v>
      </c>
      <c r="BI91" s="34">
        <v>234282</v>
      </c>
      <c r="BJ91" s="34">
        <v>274404</v>
      </c>
      <c r="BK91" s="34">
        <v>301600</v>
      </c>
      <c r="BL91" s="34">
        <v>325637</v>
      </c>
    </row>
    <row r="92" spans="1:64" ht="14.15" customHeight="1" x14ac:dyDescent="0.35">
      <c r="A92" s="28" t="s">
        <v>220</v>
      </c>
      <c r="B92" s="29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J92" s="22"/>
      <c r="BK92" s="22"/>
      <c r="BL92" s="22"/>
    </row>
    <row r="93" spans="1:64" ht="14.15" customHeight="1" x14ac:dyDescent="0.35">
      <c r="A93" s="31" t="s">
        <v>221</v>
      </c>
      <c r="B93" s="35">
        <v>269</v>
      </c>
      <c r="C93" s="35">
        <v>288</v>
      </c>
      <c r="D93" s="35">
        <v>306</v>
      </c>
      <c r="E93" s="35">
        <v>333</v>
      </c>
      <c r="F93" s="35">
        <v>355</v>
      </c>
      <c r="G93" s="35">
        <v>389</v>
      </c>
      <c r="H93" s="35">
        <v>409</v>
      </c>
      <c r="I93" s="35">
        <v>470</v>
      </c>
      <c r="J93" s="35">
        <v>571</v>
      </c>
      <c r="K93" s="35">
        <v>693</v>
      </c>
      <c r="L93" s="35">
        <v>843</v>
      </c>
      <c r="M93" s="35">
        <v>1020</v>
      </c>
      <c r="N93" s="35">
        <v>1129</v>
      </c>
      <c r="O93" s="35">
        <v>1426</v>
      </c>
      <c r="P93" s="35">
        <v>1604</v>
      </c>
      <c r="Q93" s="35">
        <v>1772</v>
      </c>
      <c r="R93" s="35">
        <v>1944</v>
      </c>
      <c r="S93" s="35">
        <v>2109</v>
      </c>
      <c r="T93" s="35">
        <v>2357</v>
      </c>
      <c r="U93" s="35">
        <v>2582</v>
      </c>
      <c r="V93" s="35">
        <v>2667</v>
      </c>
      <c r="W93" s="35">
        <v>3033</v>
      </c>
      <c r="X93" s="35">
        <v>3356</v>
      </c>
      <c r="Y93" s="35">
        <v>3675</v>
      </c>
      <c r="Z93" s="35">
        <v>3764</v>
      </c>
      <c r="AA93" s="35">
        <v>4272</v>
      </c>
      <c r="AB93" s="35">
        <v>5235</v>
      </c>
      <c r="AC93" s="35">
        <v>4889</v>
      </c>
      <c r="AD93" s="35">
        <v>4840</v>
      </c>
      <c r="AE93" s="35">
        <v>5872</v>
      </c>
      <c r="AF93" s="35">
        <v>6687</v>
      </c>
      <c r="AG93" s="35">
        <v>6912</v>
      </c>
      <c r="AH93" s="35">
        <v>6873</v>
      </c>
      <c r="AI93" s="35">
        <v>6646</v>
      </c>
      <c r="AJ93" s="35">
        <v>7324</v>
      </c>
      <c r="AK93" s="35">
        <v>8528</v>
      </c>
      <c r="AL93" s="35">
        <v>10420</v>
      </c>
      <c r="AM93" s="35">
        <v>11459</v>
      </c>
      <c r="AN93" s="35">
        <v>12121</v>
      </c>
      <c r="AO93" s="35">
        <v>12542</v>
      </c>
      <c r="AP93" s="35">
        <v>15408</v>
      </c>
      <c r="AQ93" s="35">
        <v>15745</v>
      </c>
      <c r="AR93" s="35">
        <v>19131</v>
      </c>
      <c r="AS93" s="35">
        <v>19912</v>
      </c>
      <c r="AT93" s="35">
        <v>20039</v>
      </c>
      <c r="AU93" s="35">
        <v>20735</v>
      </c>
      <c r="AV93" s="35">
        <v>25574</v>
      </c>
      <c r="AW93" s="35">
        <v>28584</v>
      </c>
      <c r="AX93" s="35">
        <v>28713</v>
      </c>
      <c r="AY93" s="35">
        <v>29802</v>
      </c>
      <c r="AZ93" s="35">
        <v>28977</v>
      </c>
      <c r="BA93" s="35">
        <v>27295</v>
      </c>
      <c r="BB93" s="35">
        <v>26106</v>
      </c>
      <c r="BC93" s="35">
        <v>26937</v>
      </c>
      <c r="BD93" s="35">
        <v>28886</v>
      </c>
      <c r="BE93" s="35">
        <v>29818</v>
      </c>
      <c r="BF93" s="35">
        <v>31333</v>
      </c>
      <c r="BG93" s="35">
        <v>34248</v>
      </c>
      <c r="BH93" s="35">
        <v>37839</v>
      </c>
      <c r="BI93" s="33">
        <v>38296</v>
      </c>
      <c r="BJ93" s="33">
        <v>38203</v>
      </c>
      <c r="BK93" s="33">
        <v>42478</v>
      </c>
      <c r="BL93" s="33">
        <v>46098</v>
      </c>
    </row>
    <row r="94" spans="1:64" ht="14.15" customHeight="1" x14ac:dyDescent="0.35">
      <c r="A94" s="31" t="s">
        <v>222</v>
      </c>
      <c r="B94" s="35">
        <v>111</v>
      </c>
      <c r="C94" s="35">
        <v>124</v>
      </c>
      <c r="D94" s="35">
        <v>131</v>
      </c>
      <c r="E94" s="35">
        <v>146</v>
      </c>
      <c r="F94" s="35">
        <v>153</v>
      </c>
      <c r="G94" s="35">
        <v>165</v>
      </c>
      <c r="H94" s="35">
        <v>178</v>
      </c>
      <c r="I94" s="35">
        <v>202</v>
      </c>
      <c r="J94" s="35">
        <v>245</v>
      </c>
      <c r="K94" s="35">
        <v>287</v>
      </c>
      <c r="L94" s="35">
        <v>347</v>
      </c>
      <c r="M94" s="35">
        <v>390</v>
      </c>
      <c r="N94" s="35">
        <v>426</v>
      </c>
      <c r="O94" s="35">
        <v>550</v>
      </c>
      <c r="P94" s="35">
        <v>697</v>
      </c>
      <c r="Q94" s="35">
        <v>842</v>
      </c>
      <c r="R94" s="35">
        <v>943</v>
      </c>
      <c r="S94" s="35">
        <v>1130</v>
      </c>
      <c r="T94" s="35">
        <v>1347</v>
      </c>
      <c r="U94" s="35">
        <v>1491</v>
      </c>
      <c r="V94" s="35">
        <v>1517</v>
      </c>
      <c r="W94" s="35">
        <v>1627</v>
      </c>
      <c r="X94" s="35">
        <v>1825</v>
      </c>
      <c r="Y94" s="35">
        <v>2064</v>
      </c>
      <c r="Z94" s="35">
        <v>2176</v>
      </c>
      <c r="AA94" s="35">
        <v>2482</v>
      </c>
      <c r="AB94" s="35">
        <v>2880</v>
      </c>
      <c r="AC94" s="35">
        <v>3255</v>
      </c>
      <c r="AD94" s="35">
        <v>3577</v>
      </c>
      <c r="AE94" s="35">
        <v>4352</v>
      </c>
      <c r="AF94" s="35">
        <v>5054</v>
      </c>
      <c r="AG94" s="35">
        <v>5336</v>
      </c>
      <c r="AH94" s="35">
        <v>5469</v>
      </c>
      <c r="AI94" s="35">
        <v>6115</v>
      </c>
      <c r="AJ94" s="35">
        <v>6067</v>
      </c>
      <c r="AK94" s="35">
        <v>6317</v>
      </c>
      <c r="AL94" s="35">
        <v>6682</v>
      </c>
      <c r="AM94" s="35">
        <v>7427</v>
      </c>
      <c r="AN94" s="35">
        <v>7762</v>
      </c>
      <c r="AO94" s="35">
        <v>8298</v>
      </c>
      <c r="AP94" s="35">
        <v>9139</v>
      </c>
      <c r="AQ94" s="35">
        <v>9889</v>
      </c>
      <c r="AR94" s="35">
        <v>10444</v>
      </c>
      <c r="AS94" s="35">
        <v>10658</v>
      </c>
      <c r="AT94" s="35">
        <v>11157</v>
      </c>
      <c r="AU94" s="35">
        <v>12110</v>
      </c>
      <c r="AV94" s="35">
        <v>13014</v>
      </c>
      <c r="AW94" s="35">
        <v>13372</v>
      </c>
      <c r="AX94" s="35">
        <v>14494</v>
      </c>
      <c r="AY94" s="35">
        <v>15076</v>
      </c>
      <c r="AZ94" s="35">
        <v>16211</v>
      </c>
      <c r="BA94" s="35">
        <v>14764</v>
      </c>
      <c r="BB94" s="35">
        <v>14224</v>
      </c>
      <c r="BC94" s="35">
        <v>14717</v>
      </c>
      <c r="BD94" s="35">
        <v>14892</v>
      </c>
      <c r="BE94" s="35">
        <v>15105</v>
      </c>
      <c r="BF94" s="35">
        <v>16974</v>
      </c>
      <c r="BG94" s="35">
        <v>17279</v>
      </c>
      <c r="BH94" s="35">
        <v>17865</v>
      </c>
      <c r="BI94" s="33">
        <v>18380</v>
      </c>
      <c r="BJ94" s="33">
        <v>18462</v>
      </c>
      <c r="BK94" s="33">
        <v>19085</v>
      </c>
      <c r="BL94" s="33">
        <v>19964</v>
      </c>
    </row>
    <row r="95" spans="1:64" ht="14.15" customHeight="1" x14ac:dyDescent="0.35">
      <c r="A95" s="31" t="s">
        <v>223</v>
      </c>
      <c r="B95" s="35">
        <v>49</v>
      </c>
      <c r="C95" s="35">
        <v>53</v>
      </c>
      <c r="D95" s="35">
        <v>53</v>
      </c>
      <c r="E95" s="35">
        <v>57</v>
      </c>
      <c r="F95" s="35">
        <v>55</v>
      </c>
      <c r="G95" s="35">
        <v>58</v>
      </c>
      <c r="H95" s="35">
        <v>63</v>
      </c>
      <c r="I95" s="35">
        <v>65</v>
      </c>
      <c r="J95" s="35">
        <v>79</v>
      </c>
      <c r="K95" s="35">
        <v>94</v>
      </c>
      <c r="L95" s="35">
        <v>115</v>
      </c>
      <c r="M95" s="35">
        <v>140</v>
      </c>
      <c r="N95" s="35">
        <v>179</v>
      </c>
      <c r="O95" s="35">
        <v>200</v>
      </c>
      <c r="P95" s="35">
        <v>208</v>
      </c>
      <c r="Q95" s="35">
        <v>240</v>
      </c>
      <c r="R95" s="35">
        <v>307</v>
      </c>
      <c r="S95" s="35">
        <v>337</v>
      </c>
      <c r="T95" s="35">
        <v>342</v>
      </c>
      <c r="U95" s="35">
        <v>361</v>
      </c>
      <c r="V95" s="35">
        <v>364</v>
      </c>
      <c r="W95" s="35">
        <v>418</v>
      </c>
      <c r="X95" s="35">
        <v>494</v>
      </c>
      <c r="Y95" s="35">
        <v>537</v>
      </c>
      <c r="Z95" s="35">
        <v>614</v>
      </c>
      <c r="AA95" s="35">
        <v>711</v>
      </c>
      <c r="AB95" s="35">
        <v>930</v>
      </c>
      <c r="AC95" s="35">
        <v>1044</v>
      </c>
      <c r="AD95" s="35">
        <v>1291</v>
      </c>
      <c r="AE95" s="35">
        <v>1600</v>
      </c>
      <c r="AF95" s="35">
        <v>2114</v>
      </c>
      <c r="AG95" s="35">
        <v>2124</v>
      </c>
      <c r="AH95" s="35">
        <v>2315</v>
      </c>
      <c r="AI95" s="35">
        <v>2749</v>
      </c>
      <c r="AJ95" s="35">
        <v>3013</v>
      </c>
      <c r="AK95" s="35">
        <v>2939</v>
      </c>
      <c r="AL95" s="35">
        <v>2682</v>
      </c>
      <c r="AM95" s="35">
        <v>3204</v>
      </c>
      <c r="AN95" s="35">
        <v>3707</v>
      </c>
      <c r="AO95" s="35">
        <v>4206</v>
      </c>
      <c r="AP95" s="35">
        <v>4746</v>
      </c>
      <c r="AQ95" s="35">
        <v>4580</v>
      </c>
      <c r="AR95" s="35">
        <v>4750</v>
      </c>
      <c r="AS95" s="35">
        <v>4845</v>
      </c>
      <c r="AT95" s="35">
        <v>5052</v>
      </c>
      <c r="AU95" s="35">
        <v>5172</v>
      </c>
      <c r="AV95" s="35">
        <v>5655</v>
      </c>
      <c r="AW95" s="35">
        <v>6009</v>
      </c>
      <c r="AX95" s="35">
        <v>6327</v>
      </c>
      <c r="AY95" s="35">
        <v>6546</v>
      </c>
      <c r="AZ95" s="35">
        <v>6753</v>
      </c>
      <c r="BA95" s="35">
        <v>6761</v>
      </c>
      <c r="BB95" s="35">
        <v>6751</v>
      </c>
      <c r="BC95" s="35">
        <v>7049</v>
      </c>
      <c r="BD95" s="35">
        <v>6952</v>
      </c>
      <c r="BE95" s="35">
        <v>6977</v>
      </c>
      <c r="BF95" s="35">
        <v>6821</v>
      </c>
      <c r="BG95" s="35">
        <v>7091</v>
      </c>
      <c r="BH95" s="35">
        <v>7764</v>
      </c>
      <c r="BI95" s="33">
        <v>7670</v>
      </c>
      <c r="BJ95" s="33">
        <v>7540</v>
      </c>
      <c r="BK95" s="33">
        <v>8374</v>
      </c>
      <c r="BL95" s="33">
        <v>9057</v>
      </c>
    </row>
    <row r="96" spans="1:64" ht="14.15" customHeight="1" x14ac:dyDescent="0.35">
      <c r="A96" s="31" t="s">
        <v>224</v>
      </c>
      <c r="B96" s="35" t="s">
        <v>156</v>
      </c>
      <c r="C96" s="35" t="s">
        <v>156</v>
      </c>
      <c r="D96" s="35" t="s">
        <v>156</v>
      </c>
      <c r="E96" s="35" t="s">
        <v>156</v>
      </c>
      <c r="F96" s="35">
        <v>1</v>
      </c>
      <c r="G96" s="35">
        <v>6</v>
      </c>
      <c r="H96" s="35">
        <v>8</v>
      </c>
      <c r="I96" s="35">
        <v>29</v>
      </c>
      <c r="J96" s="35">
        <v>65</v>
      </c>
      <c r="K96" s="35">
        <v>233</v>
      </c>
      <c r="L96" s="35">
        <v>380</v>
      </c>
      <c r="M96" s="35">
        <v>624</v>
      </c>
      <c r="N96" s="35">
        <v>770</v>
      </c>
      <c r="O96" s="35">
        <v>853</v>
      </c>
      <c r="P96" s="35">
        <v>921</v>
      </c>
      <c r="Q96" s="35">
        <v>847</v>
      </c>
      <c r="R96" s="35">
        <v>729</v>
      </c>
      <c r="S96" s="35">
        <v>710</v>
      </c>
      <c r="T96" s="35">
        <v>656</v>
      </c>
      <c r="U96" s="35">
        <v>473</v>
      </c>
      <c r="V96" s="35">
        <v>294</v>
      </c>
      <c r="W96" s="35">
        <v>167</v>
      </c>
      <c r="X96" s="35">
        <v>136</v>
      </c>
      <c r="Y96" s="35">
        <v>150</v>
      </c>
      <c r="Z96" s="35">
        <v>181</v>
      </c>
      <c r="AA96" s="35">
        <v>250</v>
      </c>
      <c r="AB96" s="35">
        <v>352</v>
      </c>
      <c r="AC96" s="35">
        <v>455</v>
      </c>
      <c r="AD96" s="35">
        <v>477</v>
      </c>
      <c r="AE96" s="35">
        <v>663</v>
      </c>
      <c r="AF96" s="35">
        <v>795</v>
      </c>
      <c r="AG96" s="35">
        <v>822</v>
      </c>
      <c r="AH96" s="35">
        <v>859</v>
      </c>
      <c r="AI96" s="35">
        <v>998</v>
      </c>
      <c r="AJ96" s="35">
        <v>1494</v>
      </c>
      <c r="AK96" s="35">
        <v>2833</v>
      </c>
      <c r="AL96" s="35">
        <v>3575</v>
      </c>
      <c r="AM96" s="35">
        <v>4446</v>
      </c>
      <c r="AN96" s="35">
        <v>4909</v>
      </c>
      <c r="AO96" s="35">
        <v>5155</v>
      </c>
      <c r="AP96" s="35">
        <v>5768</v>
      </c>
      <c r="AQ96" s="35">
        <v>5126</v>
      </c>
      <c r="AR96" s="35">
        <v>11251</v>
      </c>
      <c r="AS96" s="35">
        <v>4604</v>
      </c>
      <c r="AT96" s="35">
        <v>4768</v>
      </c>
      <c r="AU96" s="35">
        <v>4345</v>
      </c>
      <c r="AV96" s="35">
        <v>3854</v>
      </c>
      <c r="AW96" s="35">
        <v>4616</v>
      </c>
      <c r="AX96" s="35">
        <v>4849</v>
      </c>
      <c r="AY96" s="35">
        <v>4632</v>
      </c>
      <c r="AZ96" s="35">
        <v>4336</v>
      </c>
      <c r="BA96" s="35">
        <v>3781</v>
      </c>
      <c r="BB96" s="35">
        <v>3376</v>
      </c>
      <c r="BC96" s="35">
        <v>3203</v>
      </c>
      <c r="BD96" s="35">
        <v>5038</v>
      </c>
      <c r="BE96" s="35">
        <v>6044</v>
      </c>
      <c r="BF96" s="35">
        <v>5290</v>
      </c>
      <c r="BG96" s="35">
        <v>7214</v>
      </c>
      <c r="BH96" s="35">
        <v>8529</v>
      </c>
      <c r="BI96" s="33">
        <v>7084</v>
      </c>
      <c r="BJ96" s="33">
        <v>7118</v>
      </c>
      <c r="BK96" s="33">
        <v>10495</v>
      </c>
      <c r="BL96" s="33">
        <v>8674</v>
      </c>
    </row>
    <row r="97" spans="1:64" ht="14.15" customHeight="1" x14ac:dyDescent="0.35">
      <c r="A97" s="31" t="s">
        <v>225</v>
      </c>
      <c r="B97" s="36">
        <v>429</v>
      </c>
      <c r="C97" s="36">
        <v>465</v>
      </c>
      <c r="D97" s="36">
        <v>489</v>
      </c>
      <c r="E97" s="36">
        <v>536</v>
      </c>
      <c r="F97" s="36">
        <v>564</v>
      </c>
      <c r="G97" s="36">
        <v>618</v>
      </c>
      <c r="H97" s="36">
        <v>659</v>
      </c>
      <c r="I97" s="36">
        <v>766</v>
      </c>
      <c r="J97" s="36">
        <v>959</v>
      </c>
      <c r="K97" s="36">
        <v>1307</v>
      </c>
      <c r="L97" s="36">
        <v>1684</v>
      </c>
      <c r="M97" s="36">
        <v>2174</v>
      </c>
      <c r="N97" s="36">
        <v>2505</v>
      </c>
      <c r="O97" s="36">
        <v>3028</v>
      </c>
      <c r="P97" s="36">
        <v>3430</v>
      </c>
      <c r="Q97" s="36">
        <v>3701</v>
      </c>
      <c r="R97" s="36">
        <v>3923</v>
      </c>
      <c r="S97" s="36">
        <v>4286</v>
      </c>
      <c r="T97" s="36">
        <v>4702</v>
      </c>
      <c r="U97" s="36">
        <v>4908</v>
      </c>
      <c r="V97" s="36">
        <v>4842</v>
      </c>
      <c r="W97" s="36">
        <v>5246</v>
      </c>
      <c r="X97" s="36">
        <v>5811</v>
      </c>
      <c r="Y97" s="36">
        <v>6426</v>
      </c>
      <c r="Z97" s="36">
        <v>6735</v>
      </c>
      <c r="AA97" s="36">
        <v>7715</v>
      </c>
      <c r="AB97" s="36">
        <v>9397</v>
      </c>
      <c r="AC97" s="36">
        <v>9644</v>
      </c>
      <c r="AD97" s="36">
        <v>10185</v>
      </c>
      <c r="AE97" s="36">
        <v>12486</v>
      </c>
      <c r="AF97" s="36">
        <v>14650</v>
      </c>
      <c r="AG97" s="36">
        <v>15193</v>
      </c>
      <c r="AH97" s="36">
        <v>15516</v>
      </c>
      <c r="AI97" s="36">
        <v>16508</v>
      </c>
      <c r="AJ97" s="36">
        <v>17898</v>
      </c>
      <c r="AK97" s="36">
        <v>20617</v>
      </c>
      <c r="AL97" s="36">
        <v>23359</v>
      </c>
      <c r="AM97" s="36">
        <v>26536</v>
      </c>
      <c r="AN97" s="36">
        <v>28499</v>
      </c>
      <c r="AO97" s="36">
        <v>30201</v>
      </c>
      <c r="AP97" s="36">
        <v>35061</v>
      </c>
      <c r="AQ97" s="36">
        <v>35340</v>
      </c>
      <c r="AR97" s="36">
        <v>45576</v>
      </c>
      <c r="AS97" s="36">
        <v>40019</v>
      </c>
      <c r="AT97" s="36">
        <v>41016</v>
      </c>
      <c r="AU97" s="36">
        <v>42362</v>
      </c>
      <c r="AV97" s="36">
        <v>48097</v>
      </c>
      <c r="AW97" s="36">
        <v>52581</v>
      </c>
      <c r="AX97" s="36">
        <v>54383</v>
      </c>
      <c r="AY97" s="36">
        <v>56056</v>
      </c>
      <c r="AZ97" s="36">
        <v>56277</v>
      </c>
      <c r="BA97" s="36">
        <v>52601</v>
      </c>
      <c r="BB97" s="36">
        <v>50457</v>
      </c>
      <c r="BC97" s="36">
        <v>51906</v>
      </c>
      <c r="BD97" s="36">
        <v>55768</v>
      </c>
      <c r="BE97" s="36">
        <v>57944</v>
      </c>
      <c r="BF97" s="36">
        <v>60418</v>
      </c>
      <c r="BG97" s="36">
        <v>65832</v>
      </c>
      <c r="BH97" s="36">
        <v>71997</v>
      </c>
      <c r="BI97" s="34">
        <v>71430</v>
      </c>
      <c r="BJ97" s="34">
        <v>71323</v>
      </c>
      <c r="BK97" s="34">
        <v>80432</v>
      </c>
      <c r="BL97" s="34">
        <v>83793</v>
      </c>
    </row>
    <row r="98" spans="1:64" ht="14.15" customHeight="1" x14ac:dyDescent="0.35">
      <c r="A98" s="28" t="s">
        <v>226</v>
      </c>
      <c r="B98" s="29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J98" s="22"/>
      <c r="BK98" s="22"/>
      <c r="BL98" s="22"/>
    </row>
    <row r="99" spans="1:64" ht="14.15" customHeight="1" x14ac:dyDescent="0.35">
      <c r="A99" s="31" t="s">
        <v>227</v>
      </c>
      <c r="B99" s="35">
        <v>178</v>
      </c>
      <c r="C99" s="35">
        <v>176</v>
      </c>
      <c r="D99" s="35">
        <v>174</v>
      </c>
      <c r="E99" s="35">
        <v>189</v>
      </c>
      <c r="F99" s="35">
        <v>208</v>
      </c>
      <c r="G99" s="35">
        <v>218</v>
      </c>
      <c r="H99" s="35">
        <v>237</v>
      </c>
      <c r="I99" s="35">
        <v>254</v>
      </c>
      <c r="J99" s="35">
        <v>303</v>
      </c>
      <c r="K99" s="35">
        <v>342</v>
      </c>
      <c r="L99" s="35">
        <v>404</v>
      </c>
      <c r="M99" s="35">
        <v>438</v>
      </c>
      <c r="N99" s="35">
        <v>521</v>
      </c>
      <c r="O99" s="35">
        <v>593</v>
      </c>
      <c r="P99" s="35">
        <v>678</v>
      </c>
      <c r="Q99" s="35">
        <v>849</v>
      </c>
      <c r="R99" s="35">
        <v>909</v>
      </c>
      <c r="S99" s="35">
        <v>921</v>
      </c>
      <c r="T99" s="35">
        <v>1038</v>
      </c>
      <c r="U99" s="35">
        <v>1041</v>
      </c>
      <c r="V99" s="35">
        <v>1181</v>
      </c>
      <c r="W99" s="35">
        <v>1196</v>
      </c>
      <c r="X99" s="35">
        <v>1319</v>
      </c>
      <c r="Y99" s="35">
        <v>1355</v>
      </c>
      <c r="Z99" s="35">
        <v>1383</v>
      </c>
      <c r="AA99" s="35">
        <v>1444</v>
      </c>
      <c r="AB99" s="35">
        <v>1599</v>
      </c>
      <c r="AC99" s="35">
        <v>1776</v>
      </c>
      <c r="AD99" s="35">
        <v>1759</v>
      </c>
      <c r="AE99" s="35">
        <v>1871</v>
      </c>
      <c r="AF99" s="35">
        <v>2084</v>
      </c>
      <c r="AG99" s="35">
        <v>2120</v>
      </c>
      <c r="AH99" s="35">
        <v>2032</v>
      </c>
      <c r="AI99" s="35">
        <v>1996</v>
      </c>
      <c r="AJ99" s="35">
        <v>1967</v>
      </c>
      <c r="AK99" s="35">
        <v>1925</v>
      </c>
      <c r="AL99" s="35">
        <v>2007</v>
      </c>
      <c r="AM99" s="35">
        <v>2095</v>
      </c>
      <c r="AN99" s="35">
        <v>2227</v>
      </c>
      <c r="AO99" s="35">
        <v>2315</v>
      </c>
      <c r="AP99" s="35">
        <v>2639</v>
      </c>
      <c r="AQ99" s="35">
        <v>2847</v>
      </c>
      <c r="AR99" s="35">
        <v>3195</v>
      </c>
      <c r="AS99" s="35">
        <v>3460</v>
      </c>
      <c r="AT99" s="35">
        <v>3455</v>
      </c>
      <c r="AU99" s="35">
        <v>3553</v>
      </c>
      <c r="AV99" s="35">
        <v>3667</v>
      </c>
      <c r="AW99" s="35">
        <v>3823</v>
      </c>
      <c r="AX99" s="35">
        <v>4100</v>
      </c>
      <c r="AY99" s="35">
        <v>3974</v>
      </c>
      <c r="AZ99" s="35">
        <v>3908</v>
      </c>
      <c r="BA99" s="35">
        <v>3729</v>
      </c>
      <c r="BB99" s="35">
        <v>3568</v>
      </c>
      <c r="BC99" s="35">
        <v>3751</v>
      </c>
      <c r="BD99" s="35">
        <v>3831</v>
      </c>
      <c r="BE99" s="35">
        <v>3914</v>
      </c>
      <c r="BF99" s="35">
        <v>4089</v>
      </c>
      <c r="BG99" s="35">
        <v>4328</v>
      </c>
      <c r="BH99" s="35">
        <v>4659</v>
      </c>
      <c r="BI99" s="33">
        <v>4695</v>
      </c>
      <c r="BJ99" s="33">
        <v>5058</v>
      </c>
      <c r="BK99" s="33">
        <v>5779</v>
      </c>
      <c r="BL99" s="33">
        <v>6003</v>
      </c>
    </row>
    <row r="100" spans="1:64" ht="14.15" customHeight="1" x14ac:dyDescent="0.35">
      <c r="A100" s="31" t="s">
        <v>228</v>
      </c>
      <c r="B100" s="35">
        <v>12</v>
      </c>
      <c r="C100" s="35">
        <v>13</v>
      </c>
      <c r="D100" s="35">
        <v>15</v>
      </c>
      <c r="E100" s="35">
        <v>17</v>
      </c>
      <c r="F100" s="35">
        <v>17</v>
      </c>
      <c r="G100" s="35">
        <v>19</v>
      </c>
      <c r="H100" s="35">
        <v>21</v>
      </c>
      <c r="I100" s="35">
        <v>25</v>
      </c>
      <c r="J100" s="35">
        <v>30</v>
      </c>
      <c r="K100" s="35">
        <v>38</v>
      </c>
      <c r="L100" s="35">
        <v>59</v>
      </c>
      <c r="M100" s="35">
        <v>71</v>
      </c>
      <c r="N100" s="35">
        <v>117</v>
      </c>
      <c r="O100" s="35">
        <v>63</v>
      </c>
      <c r="P100" s="35">
        <v>68</v>
      </c>
      <c r="Q100" s="35">
        <v>76</v>
      </c>
      <c r="R100" s="35">
        <v>73</v>
      </c>
      <c r="S100" s="35">
        <v>81</v>
      </c>
      <c r="T100" s="35">
        <v>97</v>
      </c>
      <c r="U100" s="35">
        <v>100</v>
      </c>
      <c r="V100" s="35">
        <v>96</v>
      </c>
      <c r="W100" s="35">
        <v>96</v>
      </c>
      <c r="X100" s="35">
        <v>97</v>
      </c>
      <c r="Y100" s="35">
        <v>113</v>
      </c>
      <c r="Z100" s="35">
        <v>109</v>
      </c>
      <c r="AA100" s="35">
        <v>111</v>
      </c>
      <c r="AB100" s="35">
        <v>123</v>
      </c>
      <c r="AC100" s="35">
        <v>129</v>
      </c>
      <c r="AD100" s="35">
        <v>160</v>
      </c>
      <c r="AE100" s="35">
        <v>190</v>
      </c>
      <c r="AF100" s="35">
        <v>188</v>
      </c>
      <c r="AG100" s="35">
        <v>196</v>
      </c>
      <c r="AH100" s="35">
        <v>232</v>
      </c>
      <c r="AI100" s="35">
        <v>217</v>
      </c>
      <c r="AJ100" s="35">
        <v>204</v>
      </c>
      <c r="AK100" s="35">
        <v>223</v>
      </c>
      <c r="AL100" s="35">
        <v>272</v>
      </c>
      <c r="AM100" s="35">
        <v>446</v>
      </c>
      <c r="AN100" s="35">
        <v>456</v>
      </c>
      <c r="AO100" s="35">
        <v>457</v>
      </c>
      <c r="AP100" s="35">
        <v>639</v>
      </c>
      <c r="AQ100" s="35">
        <v>706</v>
      </c>
      <c r="AR100" s="35">
        <v>503</v>
      </c>
      <c r="AS100" s="35">
        <v>569</v>
      </c>
      <c r="AT100" s="35">
        <v>522</v>
      </c>
      <c r="AU100" s="35">
        <v>490</v>
      </c>
      <c r="AV100" s="35">
        <v>525</v>
      </c>
      <c r="AW100" s="35">
        <v>535</v>
      </c>
      <c r="AX100" s="35">
        <v>528</v>
      </c>
      <c r="AY100" s="35">
        <v>446</v>
      </c>
      <c r="AZ100" s="35">
        <v>628</v>
      </c>
      <c r="BA100" s="35">
        <v>478</v>
      </c>
      <c r="BB100" s="35">
        <v>484</v>
      </c>
      <c r="BC100" s="35">
        <v>510</v>
      </c>
      <c r="BD100" s="35">
        <v>418</v>
      </c>
      <c r="BE100" s="35">
        <v>610</v>
      </c>
      <c r="BF100" s="35">
        <v>492</v>
      </c>
      <c r="BG100" s="35">
        <v>481</v>
      </c>
      <c r="BH100" s="35">
        <v>478</v>
      </c>
      <c r="BI100" s="33">
        <v>586</v>
      </c>
      <c r="BJ100" s="33">
        <v>609</v>
      </c>
      <c r="BK100" s="33">
        <v>655</v>
      </c>
      <c r="BL100" s="33">
        <v>718</v>
      </c>
    </row>
    <row r="101" spans="1:64" ht="14.15" customHeight="1" x14ac:dyDescent="0.35">
      <c r="A101" s="31" t="s">
        <v>229</v>
      </c>
      <c r="B101" s="35">
        <v>492</v>
      </c>
      <c r="C101" s="35">
        <v>542</v>
      </c>
      <c r="D101" s="35">
        <v>607</v>
      </c>
      <c r="E101" s="35">
        <v>636</v>
      </c>
      <c r="F101" s="35">
        <v>671</v>
      </c>
      <c r="G101" s="35">
        <v>725</v>
      </c>
      <c r="H101" s="35">
        <v>745</v>
      </c>
      <c r="I101" s="35">
        <v>790</v>
      </c>
      <c r="J101" s="35">
        <v>914</v>
      </c>
      <c r="K101" s="35">
        <v>991</v>
      </c>
      <c r="L101" s="35">
        <v>1155</v>
      </c>
      <c r="M101" s="35">
        <v>1182</v>
      </c>
      <c r="N101" s="35">
        <v>1299</v>
      </c>
      <c r="O101" s="35">
        <v>1888</v>
      </c>
      <c r="P101" s="35">
        <v>1504</v>
      </c>
      <c r="Q101" s="35">
        <v>1869</v>
      </c>
      <c r="R101" s="35">
        <v>1988</v>
      </c>
      <c r="S101" s="35">
        <v>2163</v>
      </c>
      <c r="T101" s="35">
        <v>2603</v>
      </c>
      <c r="U101" s="35">
        <v>2601</v>
      </c>
      <c r="V101" s="35">
        <v>2577</v>
      </c>
      <c r="W101" s="35">
        <v>3039</v>
      </c>
      <c r="X101" s="35">
        <v>3238</v>
      </c>
      <c r="Y101" s="35">
        <v>3480</v>
      </c>
      <c r="Z101" s="35">
        <v>3625</v>
      </c>
      <c r="AA101" s="35">
        <v>3894</v>
      </c>
      <c r="AB101" s="35">
        <v>4783</v>
      </c>
      <c r="AC101" s="35">
        <v>5734</v>
      </c>
      <c r="AD101" s="35">
        <v>5824</v>
      </c>
      <c r="AE101" s="35">
        <v>6132</v>
      </c>
      <c r="AF101" s="35">
        <v>6628</v>
      </c>
      <c r="AG101" s="35">
        <v>7017</v>
      </c>
      <c r="AH101" s="35">
        <v>7370</v>
      </c>
      <c r="AI101" s="35">
        <v>7900</v>
      </c>
      <c r="AJ101" s="35">
        <v>7445</v>
      </c>
      <c r="AK101" s="35">
        <v>7383</v>
      </c>
      <c r="AL101" s="35">
        <v>10064</v>
      </c>
      <c r="AM101" s="35">
        <v>9434</v>
      </c>
      <c r="AN101" s="35">
        <v>8285</v>
      </c>
      <c r="AO101" s="35">
        <v>9144</v>
      </c>
      <c r="AP101" s="35">
        <v>10215</v>
      </c>
      <c r="AQ101" s="35">
        <v>11455</v>
      </c>
      <c r="AR101" s="35">
        <v>9301</v>
      </c>
      <c r="AS101" s="35">
        <v>9515</v>
      </c>
      <c r="AT101" s="35">
        <v>10163</v>
      </c>
      <c r="AU101" s="35">
        <v>10298</v>
      </c>
      <c r="AV101" s="35">
        <v>10553</v>
      </c>
      <c r="AW101" s="35">
        <v>10752</v>
      </c>
      <c r="AX101" s="35">
        <v>11906</v>
      </c>
      <c r="AY101" s="35">
        <v>11631</v>
      </c>
      <c r="AZ101" s="35">
        <v>11985</v>
      </c>
      <c r="BA101" s="35">
        <v>12051</v>
      </c>
      <c r="BB101" s="35">
        <v>11695</v>
      </c>
      <c r="BC101" s="35">
        <v>11096</v>
      </c>
      <c r="BD101" s="35">
        <v>11795</v>
      </c>
      <c r="BE101" s="35">
        <v>11827</v>
      </c>
      <c r="BF101" s="35">
        <v>11480</v>
      </c>
      <c r="BG101" s="35">
        <v>12144</v>
      </c>
      <c r="BH101" s="35">
        <v>12140</v>
      </c>
      <c r="BI101" s="33">
        <v>13692</v>
      </c>
      <c r="BJ101" s="33">
        <v>14496</v>
      </c>
      <c r="BK101" s="33">
        <v>16140</v>
      </c>
      <c r="BL101" s="33">
        <v>19078</v>
      </c>
    </row>
    <row r="102" spans="1:64" ht="14.15" customHeight="1" x14ac:dyDescent="0.35">
      <c r="A102" s="31" t="s">
        <v>230</v>
      </c>
      <c r="B102" s="35">
        <v>403</v>
      </c>
      <c r="C102" s="35">
        <v>439</v>
      </c>
      <c r="D102" s="35">
        <v>532</v>
      </c>
      <c r="E102" s="35">
        <v>624</v>
      </c>
      <c r="F102" s="35">
        <v>575</v>
      </c>
      <c r="G102" s="35">
        <v>646</v>
      </c>
      <c r="H102" s="35">
        <v>497</v>
      </c>
      <c r="I102" s="35">
        <v>543</v>
      </c>
      <c r="J102" s="35">
        <v>551</v>
      </c>
      <c r="K102" s="35">
        <v>573</v>
      </c>
      <c r="L102" s="35">
        <v>680</v>
      </c>
      <c r="M102" s="35">
        <v>818</v>
      </c>
      <c r="N102" s="35">
        <v>968</v>
      </c>
      <c r="O102" s="35">
        <v>395</v>
      </c>
      <c r="P102" s="35">
        <v>46</v>
      </c>
      <c r="Q102" s="35">
        <v>136</v>
      </c>
      <c r="R102" s="35">
        <v>261</v>
      </c>
      <c r="S102" s="35">
        <v>255</v>
      </c>
      <c r="T102" s="35">
        <v>283</v>
      </c>
      <c r="U102" s="35">
        <v>97</v>
      </c>
      <c r="V102" s="35">
        <v>194</v>
      </c>
      <c r="W102" s="35">
        <v>152</v>
      </c>
      <c r="X102" s="35">
        <v>150</v>
      </c>
      <c r="Y102" s="35">
        <v>39</v>
      </c>
      <c r="Z102" s="35">
        <v>416</v>
      </c>
      <c r="AA102" s="35">
        <v>90</v>
      </c>
      <c r="AB102" s="35">
        <v>-232</v>
      </c>
      <c r="AC102" s="35">
        <v>-432</v>
      </c>
      <c r="AD102" s="35">
        <v>-33</v>
      </c>
      <c r="AE102" s="35">
        <v>587</v>
      </c>
      <c r="AF102" s="35">
        <v>616</v>
      </c>
      <c r="AG102" s="35">
        <v>924</v>
      </c>
      <c r="AH102" s="35">
        <v>498</v>
      </c>
      <c r="AI102" s="35">
        <v>815</v>
      </c>
      <c r="AJ102" s="35">
        <v>682</v>
      </c>
      <c r="AK102" s="35">
        <v>925</v>
      </c>
      <c r="AL102" s="35">
        <v>801</v>
      </c>
      <c r="AM102" s="35">
        <v>-67</v>
      </c>
      <c r="AN102" s="35">
        <v>-32</v>
      </c>
      <c r="AO102" s="35">
        <v>-73</v>
      </c>
      <c r="AP102" s="35">
        <v>-423</v>
      </c>
      <c r="AQ102" s="35">
        <v>200</v>
      </c>
      <c r="AR102" s="35">
        <v>224</v>
      </c>
      <c r="AS102" s="35">
        <v>472</v>
      </c>
      <c r="AT102" s="35">
        <v>327</v>
      </c>
      <c r="AU102" s="35">
        <v>285</v>
      </c>
      <c r="AV102" s="35">
        <v>570</v>
      </c>
      <c r="AW102" s="35">
        <v>554</v>
      </c>
      <c r="AX102" s="35">
        <v>1194</v>
      </c>
      <c r="AY102" s="35">
        <v>2304</v>
      </c>
      <c r="AZ102" s="35">
        <v>2247</v>
      </c>
      <c r="BA102" s="35">
        <v>-10</v>
      </c>
      <c r="BB102" s="35">
        <v>-386</v>
      </c>
      <c r="BC102" s="35">
        <v>-490</v>
      </c>
      <c r="BD102" s="35">
        <v>-325</v>
      </c>
      <c r="BE102" s="35">
        <v>-241</v>
      </c>
      <c r="BF102" s="35">
        <v>-199</v>
      </c>
      <c r="BG102" s="35">
        <v>-873</v>
      </c>
      <c r="BH102" s="35">
        <v>76</v>
      </c>
      <c r="BI102" s="33">
        <v>-1151</v>
      </c>
      <c r="BJ102" s="33">
        <v>-991</v>
      </c>
      <c r="BK102" s="33">
        <v>-538</v>
      </c>
      <c r="BL102" s="33">
        <v>18</v>
      </c>
    </row>
    <row r="103" spans="1:64" ht="14.15" customHeight="1" x14ac:dyDescent="0.35">
      <c r="A103" s="31" t="s">
        <v>231</v>
      </c>
      <c r="B103" s="35">
        <v>22</v>
      </c>
      <c r="C103" s="35">
        <v>22</v>
      </c>
      <c r="D103" s="35">
        <v>23</v>
      </c>
      <c r="E103" s="35">
        <v>23</v>
      </c>
      <c r="F103" s="35">
        <v>25</v>
      </c>
      <c r="G103" s="35">
        <v>19</v>
      </c>
      <c r="H103" s="35">
        <v>37</v>
      </c>
      <c r="I103" s="35">
        <v>38</v>
      </c>
      <c r="J103" s="35">
        <v>44</v>
      </c>
      <c r="K103" s="35">
        <v>51</v>
      </c>
      <c r="L103" s="35">
        <v>57</v>
      </c>
      <c r="M103" s="35">
        <v>66</v>
      </c>
      <c r="N103" s="35">
        <v>74</v>
      </c>
      <c r="O103" s="35">
        <v>88</v>
      </c>
      <c r="P103" s="35">
        <v>107</v>
      </c>
      <c r="Q103" s="35">
        <v>100</v>
      </c>
      <c r="R103" s="35">
        <v>129</v>
      </c>
      <c r="S103" s="35">
        <v>127</v>
      </c>
      <c r="T103" s="35">
        <v>154</v>
      </c>
      <c r="U103" s="35">
        <v>159</v>
      </c>
      <c r="V103" s="35">
        <v>136</v>
      </c>
      <c r="W103" s="35">
        <v>115</v>
      </c>
      <c r="X103" s="35">
        <v>139</v>
      </c>
      <c r="Y103" s="35">
        <v>164</v>
      </c>
      <c r="Z103" s="35">
        <v>126</v>
      </c>
      <c r="AA103" s="35">
        <v>143</v>
      </c>
      <c r="AB103" s="35">
        <v>113</v>
      </c>
      <c r="AC103" s="35">
        <v>139</v>
      </c>
      <c r="AD103" s="35">
        <v>184</v>
      </c>
      <c r="AE103" s="35">
        <v>141</v>
      </c>
      <c r="AF103" s="35">
        <v>214</v>
      </c>
      <c r="AG103" s="35">
        <v>190</v>
      </c>
      <c r="AH103" s="35">
        <v>210</v>
      </c>
      <c r="AI103" s="35">
        <v>134</v>
      </c>
      <c r="AJ103" s="35">
        <v>103</v>
      </c>
      <c r="AK103" s="35">
        <v>137</v>
      </c>
      <c r="AL103" s="35">
        <v>116</v>
      </c>
      <c r="AM103" s="35">
        <v>156</v>
      </c>
      <c r="AN103" s="35">
        <v>184</v>
      </c>
      <c r="AO103" s="35">
        <v>184</v>
      </c>
      <c r="AP103" s="35">
        <v>47</v>
      </c>
      <c r="AQ103" s="35">
        <v>203</v>
      </c>
      <c r="AR103" s="35">
        <v>217</v>
      </c>
      <c r="AS103" s="35">
        <v>101</v>
      </c>
      <c r="AT103" s="35">
        <v>151</v>
      </c>
      <c r="AU103" s="35">
        <v>-20</v>
      </c>
      <c r="AV103" s="35">
        <v>-12</v>
      </c>
      <c r="AW103" s="35">
        <v>102</v>
      </c>
      <c r="AX103" s="35">
        <v>338</v>
      </c>
      <c r="AY103" s="35">
        <v>124</v>
      </c>
      <c r="AZ103" s="35">
        <v>67</v>
      </c>
      <c r="BA103" s="35">
        <v>372</v>
      </c>
      <c r="BB103" s="35">
        <v>268</v>
      </c>
      <c r="BC103" s="35">
        <v>81</v>
      </c>
      <c r="BD103" s="35">
        <v>-362</v>
      </c>
      <c r="BE103" s="35">
        <v>-47</v>
      </c>
      <c r="BF103" s="35">
        <v>-26</v>
      </c>
      <c r="BG103" s="35">
        <v>285</v>
      </c>
      <c r="BH103" s="35">
        <v>231</v>
      </c>
      <c r="BI103" s="33">
        <v>231</v>
      </c>
      <c r="BJ103" s="33">
        <v>318</v>
      </c>
      <c r="BK103" s="33">
        <v>260</v>
      </c>
      <c r="BL103" s="33">
        <v>302</v>
      </c>
    </row>
    <row r="104" spans="1:64" ht="14.15" customHeight="1" x14ac:dyDescent="0.35">
      <c r="A104" s="31" t="s">
        <v>232</v>
      </c>
      <c r="B104" s="35">
        <v>212</v>
      </c>
      <c r="C104" s="35">
        <v>232</v>
      </c>
      <c r="D104" s="35">
        <v>241</v>
      </c>
      <c r="E104" s="35">
        <v>238</v>
      </c>
      <c r="F104" s="35">
        <v>268</v>
      </c>
      <c r="G104" s="35">
        <v>305</v>
      </c>
      <c r="H104" s="35">
        <v>339</v>
      </c>
      <c r="I104" s="35">
        <v>430</v>
      </c>
      <c r="J104" s="35">
        <v>535</v>
      </c>
      <c r="K104" s="35">
        <v>535</v>
      </c>
      <c r="L104" s="35">
        <v>672</v>
      </c>
      <c r="M104" s="35">
        <v>7350</v>
      </c>
      <c r="N104" s="35">
        <v>6888</v>
      </c>
      <c r="O104" s="35">
        <v>7184</v>
      </c>
      <c r="P104" s="35">
        <v>7232</v>
      </c>
      <c r="Q104" s="35">
        <v>9569</v>
      </c>
      <c r="R104" s="35">
        <v>8442</v>
      </c>
      <c r="S104" s="35">
        <v>8369</v>
      </c>
      <c r="T104" s="35">
        <v>8582</v>
      </c>
      <c r="U104" s="35">
        <v>6854</v>
      </c>
      <c r="V104" s="35">
        <v>6390</v>
      </c>
      <c r="W104" s="35">
        <v>6452</v>
      </c>
      <c r="X104" s="35">
        <v>6768</v>
      </c>
      <c r="Y104" s="35">
        <v>6353</v>
      </c>
      <c r="Z104" s="35">
        <v>6431</v>
      </c>
      <c r="AA104" s="35">
        <v>1621</v>
      </c>
      <c r="AB104" s="35">
        <v>1816</v>
      </c>
      <c r="AC104" s="35">
        <v>2061</v>
      </c>
      <c r="AD104" s="35">
        <v>2161</v>
      </c>
      <c r="AE104" s="35">
        <v>2100</v>
      </c>
      <c r="AF104" s="35">
        <v>1865</v>
      </c>
      <c r="AG104" s="35">
        <v>1935</v>
      </c>
      <c r="AH104" s="35">
        <v>1937</v>
      </c>
      <c r="AI104" s="35">
        <v>2220</v>
      </c>
      <c r="AJ104" s="35">
        <v>2059</v>
      </c>
      <c r="AK104" s="35">
        <v>2189</v>
      </c>
      <c r="AL104" s="35">
        <v>2188</v>
      </c>
      <c r="AM104" s="35">
        <v>1958</v>
      </c>
      <c r="AN104" s="35">
        <v>2084</v>
      </c>
      <c r="AO104" s="35">
        <v>2308</v>
      </c>
      <c r="AP104" s="35">
        <v>2403</v>
      </c>
      <c r="AQ104" s="35">
        <v>7464</v>
      </c>
      <c r="AR104" s="35">
        <v>7675</v>
      </c>
      <c r="AS104" s="35">
        <v>3333</v>
      </c>
      <c r="AT104" s="35">
        <v>3798</v>
      </c>
      <c r="AU104" s="35">
        <v>3556</v>
      </c>
      <c r="AV104" s="35">
        <v>4089</v>
      </c>
      <c r="AW104" s="35">
        <v>4097</v>
      </c>
      <c r="AX104" s="35">
        <v>5082</v>
      </c>
      <c r="AY104" s="35">
        <v>7475</v>
      </c>
      <c r="AZ104" s="35">
        <v>7787</v>
      </c>
      <c r="BA104" s="35">
        <v>7852</v>
      </c>
      <c r="BB104" s="35">
        <v>7643</v>
      </c>
      <c r="BC104" s="35">
        <v>7266</v>
      </c>
      <c r="BD104" s="35">
        <v>7092</v>
      </c>
      <c r="BE104" s="35">
        <v>7010</v>
      </c>
      <c r="BF104" s="35">
        <v>7368</v>
      </c>
      <c r="BG104" s="35">
        <v>7661</v>
      </c>
      <c r="BH104" s="35">
        <v>155206</v>
      </c>
      <c r="BI104" s="33">
        <v>250693</v>
      </c>
      <c r="BJ104" s="33">
        <v>114902</v>
      </c>
      <c r="BK104" s="33">
        <v>12127</v>
      </c>
      <c r="BL104" s="33">
        <v>9140</v>
      </c>
    </row>
    <row r="105" spans="1:64" ht="14.15" customHeight="1" x14ac:dyDescent="0.35">
      <c r="A105" s="31" t="s">
        <v>233</v>
      </c>
      <c r="B105" s="35">
        <v>28</v>
      </c>
      <c r="C105" s="35">
        <v>63</v>
      </c>
      <c r="D105" s="35">
        <v>150</v>
      </c>
      <c r="E105" s="35">
        <v>39</v>
      </c>
      <c r="F105" s="35">
        <v>79</v>
      </c>
      <c r="G105" s="35">
        <v>101</v>
      </c>
      <c r="H105" s="35">
        <v>126</v>
      </c>
      <c r="I105" s="35">
        <v>40</v>
      </c>
      <c r="J105" s="35">
        <v>121</v>
      </c>
      <c r="K105" s="35">
        <v>126</v>
      </c>
      <c r="L105" s="35">
        <v>173</v>
      </c>
      <c r="M105" s="35">
        <v>157</v>
      </c>
      <c r="N105" s="35">
        <v>363</v>
      </c>
      <c r="O105" s="35">
        <v>424</v>
      </c>
      <c r="P105" s="35">
        <v>393</v>
      </c>
      <c r="Q105" s="35">
        <v>448</v>
      </c>
      <c r="R105" s="35">
        <v>448</v>
      </c>
      <c r="S105" s="35">
        <v>523</v>
      </c>
      <c r="T105" s="35">
        <v>569</v>
      </c>
      <c r="U105" s="35">
        <v>745</v>
      </c>
      <c r="V105" s="35">
        <v>503</v>
      </c>
      <c r="W105" s="35">
        <v>767</v>
      </c>
      <c r="X105" s="35">
        <v>548</v>
      </c>
      <c r="Y105" s="35">
        <v>517</v>
      </c>
      <c r="Z105" s="35">
        <v>479</v>
      </c>
      <c r="AA105" s="35">
        <v>806</v>
      </c>
      <c r="AB105" s="35">
        <v>1891</v>
      </c>
      <c r="AC105" s="35">
        <v>803</v>
      </c>
      <c r="AD105" s="35">
        <v>767</v>
      </c>
      <c r="AE105" s="35">
        <v>1266</v>
      </c>
      <c r="AF105" s="35">
        <v>1767</v>
      </c>
      <c r="AG105" s="35">
        <v>1300</v>
      </c>
      <c r="AH105" s="35">
        <v>968</v>
      </c>
      <c r="AI105" s="35">
        <v>1594</v>
      </c>
      <c r="AJ105" s="35">
        <v>989</v>
      </c>
      <c r="AK105" s="35">
        <v>1262</v>
      </c>
      <c r="AL105" s="35">
        <v>951</v>
      </c>
      <c r="AM105" s="35">
        <v>2225</v>
      </c>
      <c r="AN105" s="35">
        <v>2192</v>
      </c>
      <c r="AO105" s="35">
        <v>1777</v>
      </c>
      <c r="AP105" s="35">
        <v>2243</v>
      </c>
      <c r="AQ105" s="35">
        <v>2034</v>
      </c>
      <c r="AR105" s="35">
        <v>2291</v>
      </c>
      <c r="AS105" s="35">
        <v>2388</v>
      </c>
      <c r="AT105" s="35">
        <v>1120</v>
      </c>
      <c r="AU105" s="35">
        <v>1609</v>
      </c>
      <c r="AV105" s="35">
        <v>1393</v>
      </c>
      <c r="AW105" s="35">
        <v>3166</v>
      </c>
      <c r="AX105" s="35">
        <v>1587</v>
      </c>
      <c r="AY105" s="35">
        <v>3001</v>
      </c>
      <c r="AZ105" s="35">
        <v>3425</v>
      </c>
      <c r="BA105" s="35">
        <v>5957</v>
      </c>
      <c r="BB105" s="35">
        <v>3514</v>
      </c>
      <c r="BC105" s="35">
        <v>3528</v>
      </c>
      <c r="BD105" s="35">
        <v>4743</v>
      </c>
      <c r="BE105" s="35">
        <v>4286</v>
      </c>
      <c r="BF105" s="35">
        <v>2526</v>
      </c>
      <c r="BG105" s="35">
        <v>2287</v>
      </c>
      <c r="BH105" s="35">
        <v>9473</v>
      </c>
      <c r="BI105" s="33">
        <v>8561</v>
      </c>
      <c r="BJ105" s="33">
        <v>3134</v>
      </c>
      <c r="BK105" s="33">
        <v>2579</v>
      </c>
      <c r="BL105" s="33">
        <v>3567</v>
      </c>
    </row>
    <row r="106" spans="1:64" ht="14.15" customHeight="1" x14ac:dyDescent="0.35">
      <c r="A106" s="31" t="s">
        <v>234</v>
      </c>
      <c r="B106" s="35">
        <v>-299</v>
      </c>
      <c r="C106" s="35">
        <v>-257</v>
      </c>
      <c r="D106" s="35">
        <v>-224</v>
      </c>
      <c r="E106" s="35">
        <v>-266</v>
      </c>
      <c r="F106" s="35">
        <v>-241</v>
      </c>
      <c r="G106" s="35">
        <v>-314</v>
      </c>
      <c r="H106" s="35">
        <v>-245</v>
      </c>
      <c r="I106" s="35">
        <v>-181</v>
      </c>
      <c r="J106" s="35">
        <v>-177</v>
      </c>
      <c r="K106" s="35">
        <v>-214</v>
      </c>
      <c r="L106" s="35">
        <v>-241</v>
      </c>
      <c r="M106" s="35">
        <v>-309</v>
      </c>
      <c r="N106" s="35">
        <v>-198</v>
      </c>
      <c r="O106" s="35">
        <v>-261</v>
      </c>
      <c r="P106" s="35">
        <v>-322</v>
      </c>
      <c r="Q106" s="35">
        <v>-256</v>
      </c>
      <c r="R106" s="35">
        <v>-289</v>
      </c>
      <c r="S106" s="35">
        <v>-198</v>
      </c>
      <c r="T106" s="35">
        <v>-351</v>
      </c>
      <c r="U106" s="35">
        <v>-222</v>
      </c>
      <c r="V106" s="35">
        <v>-216</v>
      </c>
      <c r="W106" s="35">
        <v>-636</v>
      </c>
      <c r="X106" s="35">
        <v>-513</v>
      </c>
      <c r="Y106" s="35">
        <v>-506</v>
      </c>
      <c r="Z106" s="35">
        <v>-78</v>
      </c>
      <c r="AA106" s="35">
        <v>-623</v>
      </c>
      <c r="AB106" s="35">
        <v>-694</v>
      </c>
      <c r="AC106" s="35">
        <v>-893</v>
      </c>
      <c r="AD106" s="35">
        <v>-361</v>
      </c>
      <c r="AE106" s="35">
        <v>-718</v>
      </c>
      <c r="AF106" s="35">
        <v>-480</v>
      </c>
      <c r="AG106" s="35">
        <v>-739</v>
      </c>
      <c r="AH106" s="35">
        <v>-2087</v>
      </c>
      <c r="AI106" s="35">
        <v>-1077</v>
      </c>
      <c r="AJ106" s="35">
        <v>-1694</v>
      </c>
      <c r="AK106" s="35">
        <v>-1497</v>
      </c>
      <c r="AL106" s="35">
        <v>-855</v>
      </c>
      <c r="AM106" s="35">
        <v>-884</v>
      </c>
      <c r="AN106" s="35">
        <v>-2383</v>
      </c>
      <c r="AO106" s="35">
        <v>-1754</v>
      </c>
      <c r="AP106" s="35">
        <v>-812</v>
      </c>
      <c r="AQ106" s="35">
        <v>-1745</v>
      </c>
      <c r="AR106" s="35">
        <v>-1068</v>
      </c>
      <c r="AS106" s="35">
        <v>-2841</v>
      </c>
      <c r="AT106" s="35">
        <v>-1359</v>
      </c>
      <c r="AU106" s="35">
        <v>-2346</v>
      </c>
      <c r="AV106" s="35">
        <v>-462</v>
      </c>
      <c r="AW106" s="35">
        <v>-1012</v>
      </c>
      <c r="AX106" s="35">
        <v>-1721</v>
      </c>
      <c r="AY106" s="35">
        <v>-1479</v>
      </c>
      <c r="AZ106" s="35">
        <v>-2012</v>
      </c>
      <c r="BA106" s="35">
        <v>-2692</v>
      </c>
      <c r="BB106" s="35">
        <v>127</v>
      </c>
      <c r="BC106" s="35">
        <v>-4786</v>
      </c>
      <c r="BD106" s="35">
        <v>-4046</v>
      </c>
      <c r="BE106" s="35">
        <v>-3538</v>
      </c>
      <c r="BF106" s="35">
        <v>-1845</v>
      </c>
      <c r="BG106" s="35">
        <v>-2825</v>
      </c>
      <c r="BH106" s="35">
        <v>-2154</v>
      </c>
      <c r="BI106" s="33">
        <v>-3366</v>
      </c>
      <c r="BJ106" s="33">
        <v>-4310</v>
      </c>
      <c r="BK106" s="33">
        <v>1197</v>
      </c>
      <c r="BL106" s="33">
        <v>-3510</v>
      </c>
    </row>
    <row r="107" spans="1:64" ht="14.15" customHeight="1" x14ac:dyDescent="0.35">
      <c r="A107" s="31" t="s">
        <v>235</v>
      </c>
      <c r="B107" s="36">
        <v>1049</v>
      </c>
      <c r="C107" s="36">
        <v>1230</v>
      </c>
      <c r="D107" s="36">
        <v>1518</v>
      </c>
      <c r="E107" s="36">
        <v>1499</v>
      </c>
      <c r="F107" s="36">
        <v>1603</v>
      </c>
      <c r="G107" s="36">
        <v>1719</v>
      </c>
      <c r="H107" s="36">
        <v>1757</v>
      </c>
      <c r="I107" s="36">
        <v>1939</v>
      </c>
      <c r="J107" s="36">
        <v>2320</v>
      </c>
      <c r="K107" s="36">
        <v>2442</v>
      </c>
      <c r="L107" s="36">
        <v>2960</v>
      </c>
      <c r="M107" s="36">
        <v>9774</v>
      </c>
      <c r="N107" s="36">
        <v>10032</v>
      </c>
      <c r="O107" s="36">
        <v>10374</v>
      </c>
      <c r="P107" s="36">
        <v>9706</v>
      </c>
      <c r="Q107" s="36">
        <v>12791</v>
      </c>
      <c r="R107" s="36">
        <v>11961</v>
      </c>
      <c r="S107" s="36">
        <v>12241</v>
      </c>
      <c r="T107" s="36">
        <v>12975</v>
      </c>
      <c r="U107" s="36">
        <v>11373</v>
      </c>
      <c r="V107" s="36">
        <v>10861</v>
      </c>
      <c r="W107" s="36">
        <v>11181</v>
      </c>
      <c r="X107" s="36">
        <v>11746</v>
      </c>
      <c r="Y107" s="36">
        <v>11515</v>
      </c>
      <c r="Z107" s="36">
        <v>12491</v>
      </c>
      <c r="AA107" s="36">
        <v>7487</v>
      </c>
      <c r="AB107" s="36">
        <v>9399</v>
      </c>
      <c r="AC107" s="36">
        <v>9317</v>
      </c>
      <c r="AD107" s="36">
        <v>10462</v>
      </c>
      <c r="AE107" s="36">
        <v>11568</v>
      </c>
      <c r="AF107" s="36">
        <v>12883</v>
      </c>
      <c r="AG107" s="36">
        <v>12944</v>
      </c>
      <c r="AH107" s="36">
        <v>11159</v>
      </c>
      <c r="AI107" s="36">
        <v>13799</v>
      </c>
      <c r="AJ107" s="36">
        <v>11755</v>
      </c>
      <c r="AK107" s="36">
        <v>12547</v>
      </c>
      <c r="AL107" s="36">
        <v>15544</v>
      </c>
      <c r="AM107" s="36">
        <v>15363</v>
      </c>
      <c r="AN107" s="36">
        <v>13013</v>
      </c>
      <c r="AO107" s="36">
        <v>14358</v>
      </c>
      <c r="AP107" s="36">
        <v>16951</v>
      </c>
      <c r="AQ107" s="36">
        <v>23164</v>
      </c>
      <c r="AR107" s="36">
        <v>22338</v>
      </c>
      <c r="AS107" s="36">
        <v>16997</v>
      </c>
      <c r="AT107" s="36">
        <v>18177</v>
      </c>
      <c r="AU107" s="36">
        <v>17425</v>
      </c>
      <c r="AV107" s="36">
        <v>20323</v>
      </c>
      <c r="AW107" s="36">
        <v>22017</v>
      </c>
      <c r="AX107" s="36">
        <v>23014</v>
      </c>
      <c r="AY107" s="36">
        <v>27476</v>
      </c>
      <c r="AZ107" s="36">
        <v>28035</v>
      </c>
      <c r="BA107" s="36">
        <v>27737</v>
      </c>
      <c r="BB107" s="36">
        <v>26913</v>
      </c>
      <c r="BC107" s="36">
        <v>20956</v>
      </c>
      <c r="BD107" s="36">
        <v>23146</v>
      </c>
      <c r="BE107" s="36">
        <v>23821</v>
      </c>
      <c r="BF107" s="36">
        <v>23885</v>
      </c>
      <c r="BG107" s="36">
        <v>23488</v>
      </c>
      <c r="BH107" s="36">
        <v>180109</v>
      </c>
      <c r="BI107" s="34">
        <v>273941</v>
      </c>
      <c r="BJ107" s="34">
        <v>133216</v>
      </c>
      <c r="BK107" s="34">
        <v>38199</v>
      </c>
      <c r="BL107" s="34">
        <v>35316</v>
      </c>
    </row>
    <row r="108" spans="1:64" ht="14.15" customHeight="1" x14ac:dyDescent="0.35">
      <c r="A108" s="28" t="s">
        <v>236</v>
      </c>
      <c r="B108" s="29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J108" s="22"/>
      <c r="BK108" s="22"/>
      <c r="BL108" s="22"/>
    </row>
    <row r="109" spans="1:64" ht="14.15" customHeight="1" x14ac:dyDescent="0.35">
      <c r="A109" s="31" t="s">
        <v>237</v>
      </c>
      <c r="B109" s="35">
        <v>9120</v>
      </c>
      <c r="C109" s="35">
        <v>9895</v>
      </c>
      <c r="D109" s="35">
        <v>10666</v>
      </c>
      <c r="E109" s="35">
        <v>11346</v>
      </c>
      <c r="F109" s="35">
        <v>12014</v>
      </c>
      <c r="G109" s="35">
        <v>13391</v>
      </c>
      <c r="H109" s="35">
        <v>14573</v>
      </c>
      <c r="I109" s="35">
        <v>16588</v>
      </c>
      <c r="J109" s="35">
        <v>19304</v>
      </c>
      <c r="K109" s="35">
        <v>20959</v>
      </c>
      <c r="L109" s="35">
        <v>21849</v>
      </c>
      <c r="M109" s="35">
        <v>24167</v>
      </c>
      <c r="N109" s="35">
        <v>29319</v>
      </c>
      <c r="O109" s="35">
        <v>32665</v>
      </c>
      <c r="P109" s="35">
        <v>37076</v>
      </c>
      <c r="Q109" s="35">
        <v>41915</v>
      </c>
      <c r="R109" s="35">
        <v>48712</v>
      </c>
      <c r="S109" s="35">
        <v>59855</v>
      </c>
      <c r="T109" s="35">
        <v>74803</v>
      </c>
      <c r="U109" s="35">
        <v>95535</v>
      </c>
      <c r="V109" s="35">
        <v>117227</v>
      </c>
      <c r="W109" s="35">
        <v>128653</v>
      </c>
      <c r="X109" s="35">
        <v>153866</v>
      </c>
      <c r="Y109" s="35">
        <v>178871</v>
      </c>
      <c r="Z109" s="35">
        <v>190272</v>
      </c>
      <c r="AA109" s="35">
        <v>195242</v>
      </c>
      <c r="AB109" s="35">
        <v>214047</v>
      </c>
      <c r="AC109" s="35">
        <v>240845</v>
      </c>
      <c r="AD109" s="35">
        <v>264691</v>
      </c>
      <c r="AE109" s="35">
        <v>285421</v>
      </c>
      <c r="AF109" s="35">
        <v>292294</v>
      </c>
      <c r="AG109" s="35">
        <v>292479</v>
      </c>
      <c r="AH109" s="35">
        <v>296253</v>
      </c>
      <c r="AI109" s="35">
        <v>332379</v>
      </c>
      <c r="AJ109" s="35">
        <v>343918</v>
      </c>
      <c r="AK109" s="35">
        <v>355764</v>
      </c>
      <c r="AL109" s="35">
        <v>363759</v>
      </c>
      <c r="AM109" s="35">
        <v>353463</v>
      </c>
      <c r="AN109" s="35">
        <v>361925</v>
      </c>
      <c r="AO109" s="35">
        <v>359476</v>
      </c>
      <c r="AP109" s="35">
        <v>332537</v>
      </c>
      <c r="AQ109" s="35">
        <v>318141</v>
      </c>
      <c r="AR109" s="35">
        <v>321679</v>
      </c>
      <c r="AS109" s="35">
        <v>352345</v>
      </c>
      <c r="AT109" s="35">
        <v>405866</v>
      </c>
      <c r="AU109" s="35">
        <v>429966</v>
      </c>
      <c r="AV109" s="35">
        <v>451143</v>
      </c>
      <c r="AW109" s="35">
        <v>383073</v>
      </c>
      <c r="AX109" s="35">
        <v>413934</v>
      </c>
      <c r="AY109" s="35">
        <v>453987</v>
      </c>
      <c r="AZ109" s="35">
        <v>359219</v>
      </c>
      <c r="BA109" s="35">
        <v>415651</v>
      </c>
      <c r="BB109" s="35">
        <v>429538</v>
      </c>
      <c r="BC109" s="35">
        <v>402429</v>
      </c>
      <c r="BD109" s="35">
        <v>429950</v>
      </c>
      <c r="BE109" s="35">
        <v>456921</v>
      </c>
      <c r="BF109" s="35">
        <v>521553</v>
      </c>
      <c r="BG109" s="35">
        <v>572884</v>
      </c>
      <c r="BH109" s="35">
        <v>522644</v>
      </c>
      <c r="BI109" s="33">
        <v>562380</v>
      </c>
      <c r="BJ109" s="33">
        <v>717568</v>
      </c>
      <c r="BK109" s="33">
        <v>879229</v>
      </c>
      <c r="BL109" s="33">
        <v>1133019</v>
      </c>
    </row>
    <row r="110" spans="1:64" ht="14.15" customHeight="1" x14ac:dyDescent="0.35">
      <c r="A110" s="31" t="s">
        <v>238</v>
      </c>
      <c r="B110" s="35">
        <v>-824</v>
      </c>
      <c r="C110" s="35">
        <v>-895</v>
      </c>
      <c r="D110" s="35">
        <v>-1006</v>
      </c>
      <c r="E110" s="35">
        <v>-1121</v>
      </c>
      <c r="F110" s="35">
        <v>-1259</v>
      </c>
      <c r="G110" s="35">
        <v>-1492</v>
      </c>
      <c r="H110" s="35">
        <v>-1689</v>
      </c>
      <c r="I110" s="35">
        <v>-1953</v>
      </c>
      <c r="J110" s="35">
        <v>-2367</v>
      </c>
      <c r="K110" s="35">
        <v>-2820</v>
      </c>
      <c r="L110" s="35">
        <v>-2983</v>
      </c>
      <c r="M110" s="35">
        <v>-3156</v>
      </c>
      <c r="N110" s="35">
        <v>-4064</v>
      </c>
      <c r="O110" s="35">
        <v>-4861</v>
      </c>
      <c r="P110" s="35">
        <v>-4988</v>
      </c>
      <c r="Q110" s="35">
        <v>-5488</v>
      </c>
      <c r="R110" s="35">
        <v>-6128</v>
      </c>
      <c r="S110" s="35">
        <v>-7727</v>
      </c>
      <c r="T110" s="35">
        <v>-9707</v>
      </c>
      <c r="U110" s="35">
        <v>-11523</v>
      </c>
      <c r="V110" s="35">
        <v>-13995</v>
      </c>
      <c r="W110" s="35">
        <v>-15257</v>
      </c>
      <c r="X110" s="35">
        <v>-17044</v>
      </c>
      <c r="Y110" s="35">
        <v>-21838</v>
      </c>
      <c r="Z110" s="35">
        <v>-26628</v>
      </c>
      <c r="AA110" s="35">
        <v>-29614</v>
      </c>
      <c r="AB110" s="35">
        <v>-34406</v>
      </c>
      <c r="AC110" s="35">
        <v>-40467</v>
      </c>
      <c r="AD110" s="35">
        <v>-46321</v>
      </c>
      <c r="AE110" s="35">
        <v>-50426</v>
      </c>
      <c r="AF110" s="35">
        <v>-54193</v>
      </c>
      <c r="AG110" s="35">
        <v>-55537</v>
      </c>
      <c r="AH110" s="35">
        <v>-56494</v>
      </c>
      <c r="AI110" s="35">
        <v>-59871</v>
      </c>
      <c r="AJ110" s="35">
        <v>-60869</v>
      </c>
      <c r="AK110" s="35">
        <v>-63776</v>
      </c>
      <c r="AL110" s="35">
        <v>-67208</v>
      </c>
      <c r="AM110" s="35">
        <v>-66520</v>
      </c>
      <c r="AN110" s="35">
        <v>-69290</v>
      </c>
      <c r="AO110" s="35">
        <v>-75302</v>
      </c>
      <c r="AP110" s="35">
        <v>-76494</v>
      </c>
      <c r="AQ110" s="35">
        <v>-72523</v>
      </c>
      <c r="AR110" s="35">
        <v>-67761</v>
      </c>
      <c r="AS110" s="35">
        <v>-69153</v>
      </c>
      <c r="AT110" s="35">
        <v>-71574</v>
      </c>
      <c r="AU110" s="35">
        <v>-71964</v>
      </c>
      <c r="AV110" s="35">
        <v>-77821</v>
      </c>
      <c r="AW110" s="35">
        <v>-63600</v>
      </c>
      <c r="AX110" s="35">
        <v>-67268</v>
      </c>
      <c r="AY110" s="35">
        <v>-72030</v>
      </c>
      <c r="AZ110" s="35">
        <v>-14753</v>
      </c>
      <c r="BA110" s="35">
        <v>-51015</v>
      </c>
      <c r="BB110" s="35">
        <v>-57848</v>
      </c>
      <c r="BC110" s="35">
        <v>-45823</v>
      </c>
      <c r="BD110" s="35">
        <v>-55536</v>
      </c>
      <c r="BE110" s="35">
        <v>-60543</v>
      </c>
      <c r="BF110" s="35">
        <v>-66343</v>
      </c>
      <c r="BG110" s="35">
        <v>-67110</v>
      </c>
      <c r="BH110" s="35">
        <v>-56404</v>
      </c>
      <c r="BI110" s="33">
        <v>-76327</v>
      </c>
      <c r="BJ110" s="33">
        <v>-116213</v>
      </c>
      <c r="BK110" s="33">
        <v>-102646</v>
      </c>
      <c r="BL110" s="33">
        <v>-116418</v>
      </c>
    </row>
    <row r="111" spans="1:64" ht="14.15" customHeight="1" x14ac:dyDescent="0.35">
      <c r="A111" s="31" t="s">
        <v>239</v>
      </c>
      <c r="B111" s="35">
        <v>-609</v>
      </c>
      <c r="C111" s="35">
        <v>-582</v>
      </c>
      <c r="D111" s="35">
        <v>-607</v>
      </c>
      <c r="E111" s="35">
        <v>-648</v>
      </c>
      <c r="F111" s="35">
        <v>-642</v>
      </c>
      <c r="G111" s="35">
        <v>-792</v>
      </c>
      <c r="H111" s="35">
        <v>-979</v>
      </c>
      <c r="I111" s="35">
        <v>-1149</v>
      </c>
      <c r="J111" s="35">
        <v>-1568</v>
      </c>
      <c r="K111" s="35">
        <v>-1942</v>
      </c>
      <c r="L111" s="35">
        <v>-2106</v>
      </c>
      <c r="M111" s="35">
        <v>-2280</v>
      </c>
      <c r="N111" s="35">
        <v>-2520</v>
      </c>
      <c r="O111" s="35">
        <v>-2803</v>
      </c>
      <c r="P111" s="35">
        <v>-2812</v>
      </c>
      <c r="Q111" s="35">
        <v>-2650</v>
      </c>
      <c r="R111" s="35">
        <v>-2403</v>
      </c>
      <c r="S111" s="35">
        <v>-2224</v>
      </c>
      <c r="T111" s="35">
        <v>-2339</v>
      </c>
      <c r="U111" s="35">
        <v>-2288</v>
      </c>
      <c r="V111" s="35">
        <v>-2071</v>
      </c>
      <c r="W111" s="35">
        <v>-1845</v>
      </c>
      <c r="X111" s="35">
        <v>-3310</v>
      </c>
      <c r="Y111" s="35">
        <v>-4118</v>
      </c>
      <c r="Z111" s="35">
        <v>-4329</v>
      </c>
      <c r="AA111" s="35">
        <v>-5290</v>
      </c>
      <c r="AB111" s="35">
        <v>-7416</v>
      </c>
      <c r="AC111" s="35">
        <v>-11395</v>
      </c>
      <c r="AD111" s="35">
        <v>-15991</v>
      </c>
      <c r="AE111" s="35">
        <v>-20222</v>
      </c>
      <c r="AF111" s="35">
        <v>-23637</v>
      </c>
      <c r="AG111" s="35">
        <v>-26788</v>
      </c>
      <c r="AH111" s="35">
        <v>-29203</v>
      </c>
      <c r="AI111" s="35">
        <v>-33305</v>
      </c>
      <c r="AJ111" s="35">
        <v>-36507</v>
      </c>
      <c r="AK111" s="35">
        <v>-41214</v>
      </c>
      <c r="AL111" s="35">
        <v>-46629</v>
      </c>
      <c r="AM111" s="35">
        <v>-52070</v>
      </c>
      <c r="AN111" s="35">
        <v>-59796</v>
      </c>
      <c r="AO111" s="35">
        <v>-68811</v>
      </c>
      <c r="AP111" s="35">
        <v>-76819</v>
      </c>
      <c r="AQ111" s="35">
        <v>-83544</v>
      </c>
      <c r="AR111" s="35">
        <v>-86228</v>
      </c>
      <c r="AS111" s="35">
        <v>-91836</v>
      </c>
      <c r="AT111" s="35">
        <v>-97722</v>
      </c>
      <c r="AU111" s="35">
        <v>-106003</v>
      </c>
      <c r="AV111" s="35">
        <v>-113718</v>
      </c>
      <c r="AW111" s="35">
        <v>-117954</v>
      </c>
      <c r="AX111" s="35">
        <v>-118502</v>
      </c>
      <c r="AY111" s="35">
        <v>-115981</v>
      </c>
      <c r="AZ111" s="35">
        <v>-112393</v>
      </c>
      <c r="BA111" s="35">
        <v>-105650</v>
      </c>
      <c r="BB111" s="35">
        <v>-100266</v>
      </c>
      <c r="BC111" s="35">
        <v>-95968</v>
      </c>
      <c r="BD111" s="35">
        <v>-90575</v>
      </c>
      <c r="BE111" s="35">
        <v>-86512</v>
      </c>
      <c r="BF111" s="35">
        <v>-83809</v>
      </c>
      <c r="BG111" s="35">
        <v>-82504</v>
      </c>
      <c r="BH111" s="35">
        <v>-78804</v>
      </c>
      <c r="BI111" s="33">
        <v>-73253</v>
      </c>
      <c r="BJ111" s="33">
        <v>-67738</v>
      </c>
      <c r="BK111" s="33">
        <v>-66507</v>
      </c>
      <c r="BL111" s="33">
        <v>-67420</v>
      </c>
    </row>
    <row r="112" spans="1:64" ht="14.15" customHeight="1" x14ac:dyDescent="0.35">
      <c r="A112" s="31" t="s">
        <v>240</v>
      </c>
      <c r="B112" s="35">
        <v>-797</v>
      </c>
      <c r="C112" s="35">
        <v>-678</v>
      </c>
      <c r="D112" s="35">
        <v>-855</v>
      </c>
      <c r="E112" s="35">
        <v>-986</v>
      </c>
      <c r="F112" s="35">
        <v>-727</v>
      </c>
      <c r="G112" s="35">
        <v>-839</v>
      </c>
      <c r="H112" s="35">
        <v>-816</v>
      </c>
      <c r="I112" s="35">
        <v>-788</v>
      </c>
      <c r="J112" s="35">
        <v>-989</v>
      </c>
      <c r="K112" s="35">
        <v>-1356</v>
      </c>
      <c r="L112" s="35">
        <v>-1282</v>
      </c>
      <c r="M112" s="35">
        <v>-1382</v>
      </c>
      <c r="N112" s="35">
        <v>-1286</v>
      </c>
      <c r="O112" s="35">
        <v>-1756</v>
      </c>
      <c r="P112" s="35">
        <v>-2549</v>
      </c>
      <c r="Q112" s="35">
        <v>-3875</v>
      </c>
      <c r="R112" s="35">
        <v>-4724</v>
      </c>
      <c r="S112" s="35">
        <v>-7271</v>
      </c>
      <c r="T112" s="35">
        <v>-10224</v>
      </c>
      <c r="U112" s="35">
        <v>-12958</v>
      </c>
      <c r="V112" s="35">
        <v>-16129</v>
      </c>
      <c r="W112" s="35">
        <v>-21743</v>
      </c>
      <c r="X112" s="35">
        <v>-22410</v>
      </c>
      <c r="Y112" s="35">
        <v>-23438</v>
      </c>
      <c r="Z112" s="35">
        <v>-23298</v>
      </c>
      <c r="AA112" s="35">
        <v>-21727</v>
      </c>
      <c r="AB112" s="35">
        <v>-20422</v>
      </c>
      <c r="AC112" s="35">
        <v>-20003</v>
      </c>
      <c r="AD112" s="35">
        <v>-18032</v>
      </c>
      <c r="AE112" s="35">
        <v>-20325</v>
      </c>
      <c r="AF112" s="35">
        <v>-15120</v>
      </c>
      <c r="AG112" s="35">
        <v>-11442</v>
      </c>
      <c r="AH112" s="35">
        <v>-7623</v>
      </c>
      <c r="AI112" s="35">
        <v>-7069</v>
      </c>
      <c r="AJ112" s="35">
        <v>-5489</v>
      </c>
      <c r="AK112" s="35">
        <v>-6790</v>
      </c>
      <c r="AL112" s="35">
        <v>-8803</v>
      </c>
      <c r="AM112" s="35">
        <v>-5117</v>
      </c>
      <c r="AN112" s="35">
        <v>-9888</v>
      </c>
      <c r="AO112" s="35">
        <v>-9194</v>
      </c>
      <c r="AP112" s="35">
        <v>-8275</v>
      </c>
      <c r="AQ112" s="35">
        <v>-6541</v>
      </c>
      <c r="AR112" s="35">
        <v>-4473</v>
      </c>
      <c r="AS112" s="35">
        <v>-3945</v>
      </c>
      <c r="AT112" s="35">
        <v>-7306</v>
      </c>
      <c r="AU112" s="35">
        <v>-10131</v>
      </c>
      <c r="AV112" s="35">
        <v>-12874</v>
      </c>
      <c r="AW112" s="35">
        <v>-14966</v>
      </c>
      <c r="AX112" s="35">
        <v>-29539</v>
      </c>
      <c r="AY112" s="35">
        <v>-35872</v>
      </c>
      <c r="AZ112" s="35">
        <v>-8128</v>
      </c>
      <c r="BA112" s="35">
        <v>-35053</v>
      </c>
      <c r="BB112" s="35">
        <v>-39900</v>
      </c>
      <c r="BC112" s="35">
        <v>-37781</v>
      </c>
      <c r="BD112" s="35">
        <v>-41859</v>
      </c>
      <c r="BE112" s="35">
        <v>-44013</v>
      </c>
      <c r="BF112" s="35">
        <v>-44441</v>
      </c>
      <c r="BG112" s="35">
        <v>-47501</v>
      </c>
      <c r="BH112" s="35">
        <v>-40568</v>
      </c>
      <c r="BI112" s="33">
        <v>-53701</v>
      </c>
      <c r="BJ112" s="33">
        <v>-60895</v>
      </c>
      <c r="BK112" s="33">
        <v>-49077</v>
      </c>
      <c r="BL112" s="33">
        <v>-64902</v>
      </c>
    </row>
    <row r="113" spans="1:64" ht="14.15" customHeight="1" x14ac:dyDescent="0.35">
      <c r="A113" s="31" t="s">
        <v>241</v>
      </c>
      <c r="B113" s="35" t="s">
        <v>156</v>
      </c>
      <c r="C113" s="35" t="s">
        <v>156</v>
      </c>
      <c r="D113" s="35" t="s">
        <v>156</v>
      </c>
      <c r="E113" s="35" t="s">
        <v>156</v>
      </c>
      <c r="F113" s="35" t="s">
        <v>156</v>
      </c>
      <c r="G113" s="35" t="s">
        <v>156</v>
      </c>
      <c r="H113" s="35" t="s">
        <v>156</v>
      </c>
      <c r="I113" s="35" t="s">
        <v>156</v>
      </c>
      <c r="J113" s="35" t="s">
        <v>156</v>
      </c>
      <c r="K113" s="35" t="s">
        <v>156</v>
      </c>
      <c r="L113" s="35" t="s">
        <v>156</v>
      </c>
      <c r="M113" s="35" t="s">
        <v>156</v>
      </c>
      <c r="N113" s="35" t="s">
        <v>156</v>
      </c>
      <c r="O113" s="35" t="s">
        <v>156</v>
      </c>
      <c r="P113" s="35" t="s">
        <v>156</v>
      </c>
      <c r="Q113" s="35" t="s">
        <v>156</v>
      </c>
      <c r="R113" s="35" t="s">
        <v>156</v>
      </c>
      <c r="S113" s="35" t="s">
        <v>156</v>
      </c>
      <c r="T113" s="35" t="s">
        <v>156</v>
      </c>
      <c r="U113" s="35" t="s">
        <v>156</v>
      </c>
      <c r="V113" s="35" t="s">
        <v>156</v>
      </c>
      <c r="W113" s="35" t="s">
        <v>156</v>
      </c>
      <c r="X113" s="35" t="s">
        <v>156</v>
      </c>
      <c r="Y113" s="35" t="s">
        <v>156</v>
      </c>
      <c r="Z113" s="35" t="s">
        <v>156</v>
      </c>
      <c r="AA113" s="35" t="s">
        <v>156</v>
      </c>
      <c r="AB113" s="35" t="s">
        <v>156</v>
      </c>
      <c r="AC113" s="35" t="s">
        <v>156</v>
      </c>
      <c r="AD113" s="35" t="s">
        <v>156</v>
      </c>
      <c r="AE113" s="35" t="s">
        <v>156</v>
      </c>
      <c r="AF113" s="35" t="s">
        <v>156</v>
      </c>
      <c r="AG113" s="35" t="s">
        <v>156</v>
      </c>
      <c r="AH113" s="35" t="s">
        <v>156</v>
      </c>
      <c r="AI113" s="35" t="s">
        <v>156</v>
      </c>
      <c r="AJ113" s="35" t="s">
        <v>156</v>
      </c>
      <c r="AK113" s="35" t="s">
        <v>156</v>
      </c>
      <c r="AL113" s="35">
        <v>-1</v>
      </c>
      <c r="AM113" s="35">
        <v>-1</v>
      </c>
      <c r="AN113" s="35">
        <v>-2</v>
      </c>
      <c r="AO113" s="35">
        <v>-2</v>
      </c>
      <c r="AP113" s="35" t="s">
        <v>156</v>
      </c>
      <c r="AQ113" s="35">
        <v>-2460</v>
      </c>
      <c r="AR113" s="35">
        <v>-2972</v>
      </c>
      <c r="AS113" s="35">
        <v>-3425</v>
      </c>
      <c r="AT113" s="35">
        <v>-2661</v>
      </c>
      <c r="AU113" s="35">
        <v>-4759</v>
      </c>
      <c r="AV113" s="35">
        <v>6027</v>
      </c>
      <c r="AW113" s="35">
        <v>349</v>
      </c>
      <c r="AX113" s="35">
        <v>-2431</v>
      </c>
      <c r="AY113" s="35">
        <v>-142</v>
      </c>
      <c r="AZ113" s="35">
        <v>-3537</v>
      </c>
      <c r="BA113" s="35">
        <v>-3048</v>
      </c>
      <c r="BB113" s="35">
        <v>-2568</v>
      </c>
      <c r="BC113" s="35">
        <v>324</v>
      </c>
      <c r="BD113" s="35">
        <v>-1947</v>
      </c>
      <c r="BE113" s="35">
        <v>-3302</v>
      </c>
      <c r="BF113" s="35">
        <v>-1985</v>
      </c>
      <c r="BG113" s="35">
        <v>-611</v>
      </c>
      <c r="BH113" s="35">
        <v>-1398</v>
      </c>
      <c r="BI113" s="33">
        <v>-6761</v>
      </c>
      <c r="BJ113" s="33">
        <v>3165</v>
      </c>
      <c r="BK113" s="33">
        <v>-2732</v>
      </c>
      <c r="BL113" s="33">
        <v>-4400</v>
      </c>
    </row>
    <row r="114" spans="1:64" ht="14.15" customHeight="1" x14ac:dyDescent="0.35">
      <c r="A114" s="31" t="s">
        <v>242</v>
      </c>
      <c r="B114" s="36">
        <v>6889</v>
      </c>
      <c r="C114" s="36">
        <v>7740</v>
      </c>
      <c r="D114" s="36">
        <v>8199</v>
      </c>
      <c r="E114" s="36">
        <v>8591</v>
      </c>
      <c r="F114" s="36">
        <v>9386</v>
      </c>
      <c r="G114" s="36">
        <v>10268</v>
      </c>
      <c r="H114" s="36">
        <v>11090</v>
      </c>
      <c r="I114" s="36">
        <v>12699</v>
      </c>
      <c r="J114" s="36">
        <v>14380</v>
      </c>
      <c r="K114" s="36">
        <v>14841</v>
      </c>
      <c r="L114" s="36">
        <v>15478</v>
      </c>
      <c r="M114" s="36">
        <v>17349</v>
      </c>
      <c r="N114" s="36">
        <v>21449</v>
      </c>
      <c r="O114" s="36">
        <v>23244</v>
      </c>
      <c r="P114" s="36">
        <v>26727</v>
      </c>
      <c r="Q114" s="36">
        <v>29901</v>
      </c>
      <c r="R114" s="36">
        <v>35458</v>
      </c>
      <c r="S114" s="36">
        <v>42633</v>
      </c>
      <c r="T114" s="36">
        <v>52533</v>
      </c>
      <c r="U114" s="36">
        <v>68766</v>
      </c>
      <c r="V114" s="36">
        <v>85032</v>
      </c>
      <c r="W114" s="36">
        <v>89808</v>
      </c>
      <c r="X114" s="36">
        <v>111102</v>
      </c>
      <c r="Y114" s="36">
        <v>129478</v>
      </c>
      <c r="Z114" s="36">
        <v>136017</v>
      </c>
      <c r="AA114" s="36">
        <v>138611</v>
      </c>
      <c r="AB114" s="36">
        <v>151803</v>
      </c>
      <c r="AC114" s="36">
        <v>168981</v>
      </c>
      <c r="AD114" s="36">
        <v>184347</v>
      </c>
      <c r="AE114" s="36">
        <v>194448</v>
      </c>
      <c r="AF114" s="36">
        <v>199344</v>
      </c>
      <c r="AG114" s="36">
        <v>198713</v>
      </c>
      <c r="AH114" s="36">
        <v>202932</v>
      </c>
      <c r="AI114" s="36">
        <v>232134</v>
      </c>
      <c r="AJ114" s="36">
        <v>241053</v>
      </c>
      <c r="AK114" s="36">
        <v>243984</v>
      </c>
      <c r="AL114" s="36">
        <v>241118</v>
      </c>
      <c r="AM114" s="36">
        <v>229755</v>
      </c>
      <c r="AN114" s="36">
        <v>222949</v>
      </c>
      <c r="AO114" s="36">
        <v>206167</v>
      </c>
      <c r="AP114" s="36">
        <v>170949</v>
      </c>
      <c r="AQ114" s="36">
        <v>153073</v>
      </c>
      <c r="AR114" s="36">
        <v>160245</v>
      </c>
      <c r="AS114" s="36">
        <v>183986</v>
      </c>
      <c r="AT114" s="36">
        <v>226603</v>
      </c>
      <c r="AU114" s="36">
        <v>237109</v>
      </c>
      <c r="AV114" s="36">
        <v>252757</v>
      </c>
      <c r="AW114" s="36">
        <v>186902</v>
      </c>
      <c r="AX114" s="36">
        <v>196194</v>
      </c>
      <c r="AY114" s="36">
        <v>229962</v>
      </c>
      <c r="AZ114" s="36">
        <v>220408</v>
      </c>
      <c r="BA114" s="36">
        <v>220885</v>
      </c>
      <c r="BB114" s="36">
        <v>228956</v>
      </c>
      <c r="BC114" s="36">
        <v>223181</v>
      </c>
      <c r="BD114" s="36">
        <v>240033</v>
      </c>
      <c r="BE114" s="36">
        <v>262551</v>
      </c>
      <c r="BF114" s="36">
        <v>324975</v>
      </c>
      <c r="BG114" s="36">
        <v>375158</v>
      </c>
      <c r="BH114" s="36">
        <v>345470</v>
      </c>
      <c r="BI114" s="34">
        <v>352338</v>
      </c>
      <c r="BJ114" s="34">
        <v>475887</v>
      </c>
      <c r="BK114" s="34">
        <v>658267</v>
      </c>
      <c r="BL114" s="34">
        <v>879879</v>
      </c>
    </row>
    <row r="115" spans="1:64" ht="14.15" customHeight="1" x14ac:dyDescent="0.35">
      <c r="A115" s="28" t="s">
        <v>243</v>
      </c>
      <c r="B115" s="29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J115" s="22"/>
      <c r="BK115" s="22"/>
      <c r="BL115" s="22"/>
    </row>
    <row r="116" spans="1:64" ht="14.15" customHeight="1" x14ac:dyDescent="0.35">
      <c r="A116" s="31" t="s">
        <v>244</v>
      </c>
      <c r="B116" s="35">
        <v>-5042</v>
      </c>
      <c r="C116" s="35">
        <v>-5188</v>
      </c>
      <c r="D116" s="35">
        <v>-5413</v>
      </c>
      <c r="E116" s="35">
        <v>-5572</v>
      </c>
      <c r="F116" s="35">
        <v>-5957</v>
      </c>
      <c r="G116" s="35">
        <v>-6242</v>
      </c>
      <c r="H116" s="35">
        <v>-6639</v>
      </c>
      <c r="I116" s="35">
        <v>-7026</v>
      </c>
      <c r="J116" s="35">
        <v>-7808</v>
      </c>
      <c r="K116" s="35">
        <v>-8417</v>
      </c>
      <c r="L116" s="35">
        <v>-8646</v>
      </c>
      <c r="M116" s="35">
        <v>-8759</v>
      </c>
      <c r="N116" s="35">
        <v>-9236</v>
      </c>
      <c r="O116" s="35">
        <v>-10258</v>
      </c>
      <c r="P116" s="35">
        <v>-10761</v>
      </c>
      <c r="Q116" s="35">
        <v>-11528</v>
      </c>
      <c r="R116" s="35">
        <v>-12401</v>
      </c>
      <c r="S116" s="35">
        <v>-13095</v>
      </c>
      <c r="T116" s="35">
        <v>-14638</v>
      </c>
      <c r="U116" s="35">
        <v>-16473</v>
      </c>
      <c r="V116" s="35">
        <v>-18203</v>
      </c>
      <c r="W116" s="35">
        <v>-21706</v>
      </c>
      <c r="X116" s="35">
        <v>-23219</v>
      </c>
      <c r="Y116" s="35">
        <v>-24648</v>
      </c>
      <c r="Z116" s="35">
        <v>-25434</v>
      </c>
      <c r="AA116" s="35">
        <v>-27259</v>
      </c>
      <c r="AB116" s="35">
        <v>-29037</v>
      </c>
      <c r="AC116" s="35">
        <v>-29425</v>
      </c>
      <c r="AD116" s="35">
        <v>-28044</v>
      </c>
      <c r="AE116" s="35">
        <v>-30402</v>
      </c>
      <c r="AF116" s="35">
        <v>-30680</v>
      </c>
      <c r="AG116" s="35">
        <v>-28186</v>
      </c>
      <c r="AH116" s="35">
        <v>-28361</v>
      </c>
      <c r="AI116" s="35">
        <v>-27961</v>
      </c>
      <c r="AJ116" s="35">
        <v>-27259</v>
      </c>
      <c r="AK116" s="35">
        <v>-27773</v>
      </c>
      <c r="AL116" s="35">
        <v>-27820</v>
      </c>
      <c r="AM116" s="35">
        <v>-28209</v>
      </c>
      <c r="AN116" s="35">
        <v>-30214</v>
      </c>
      <c r="AO116" s="35">
        <v>-30883</v>
      </c>
      <c r="AP116" s="35">
        <v>-33489</v>
      </c>
      <c r="AQ116" s="35">
        <v>-39751</v>
      </c>
      <c r="AR116" s="35">
        <v>-42100</v>
      </c>
      <c r="AS116" s="35">
        <v>-47977</v>
      </c>
      <c r="AT116" s="35">
        <v>-49231</v>
      </c>
      <c r="AU116" s="35">
        <v>-49476</v>
      </c>
      <c r="AV116" s="35">
        <v>-53033</v>
      </c>
      <c r="AW116" s="35">
        <v>-56431</v>
      </c>
      <c r="AX116" s="35">
        <v>-62100</v>
      </c>
      <c r="AY116" s="35">
        <v>-64581</v>
      </c>
      <c r="AZ116" s="35">
        <v>-68347</v>
      </c>
      <c r="BA116" s="35">
        <v>-65155</v>
      </c>
      <c r="BB116" s="35">
        <v>-63612</v>
      </c>
      <c r="BC116" s="35">
        <v>-65112</v>
      </c>
      <c r="BD116" s="35">
        <v>-67096</v>
      </c>
      <c r="BE116" s="35">
        <v>-67471</v>
      </c>
      <c r="BF116" s="35">
        <v>-69188</v>
      </c>
      <c r="BG116" s="35">
        <v>-72756</v>
      </c>
      <c r="BH116" s="35">
        <v>-80858</v>
      </c>
      <c r="BI116" s="33">
        <v>-90797</v>
      </c>
      <c r="BJ116" s="33">
        <v>-98798</v>
      </c>
      <c r="BK116" s="33">
        <v>-103314</v>
      </c>
      <c r="BL116" s="33">
        <v>-116417</v>
      </c>
    </row>
    <row r="117" spans="1:64" ht="14.15" customHeight="1" x14ac:dyDescent="0.35">
      <c r="A117" s="31" t="s">
        <v>245</v>
      </c>
      <c r="B117" s="35">
        <v>-221</v>
      </c>
      <c r="C117" s="35">
        <v>-242</v>
      </c>
      <c r="D117" s="35">
        <v>-279</v>
      </c>
      <c r="E117" s="35">
        <v>-282</v>
      </c>
      <c r="F117" s="35">
        <v>-337</v>
      </c>
      <c r="G117" s="35">
        <v>-415</v>
      </c>
      <c r="H117" s="35">
        <v>-445</v>
      </c>
      <c r="I117" s="35">
        <v>-532</v>
      </c>
      <c r="J117" s="35">
        <v>-637</v>
      </c>
      <c r="K117" s="35">
        <v>-640</v>
      </c>
      <c r="L117" s="35">
        <v>-657</v>
      </c>
      <c r="M117" s="35">
        <v>-695</v>
      </c>
      <c r="N117" s="35">
        <v>-764</v>
      </c>
      <c r="O117" s="35">
        <v>-916</v>
      </c>
      <c r="P117" s="35">
        <v>-963</v>
      </c>
      <c r="Q117" s="35">
        <v>-977</v>
      </c>
      <c r="R117" s="35">
        <v>-1060</v>
      </c>
      <c r="S117" s="35">
        <v>-1114</v>
      </c>
      <c r="T117" s="35">
        <v>-1204</v>
      </c>
      <c r="U117" s="35">
        <v>-1430</v>
      </c>
      <c r="V117" s="35">
        <v>-1646</v>
      </c>
      <c r="W117" s="35">
        <v>-1778</v>
      </c>
      <c r="X117" s="35">
        <v>-2044</v>
      </c>
      <c r="Y117" s="35">
        <v>-2509</v>
      </c>
      <c r="Z117" s="35">
        <v>-2857</v>
      </c>
      <c r="AA117" s="35">
        <v>-3300</v>
      </c>
      <c r="AB117" s="35">
        <v>-4382</v>
      </c>
      <c r="AC117" s="35">
        <v>-4858</v>
      </c>
      <c r="AD117" s="35">
        <v>-5567</v>
      </c>
      <c r="AE117" s="35">
        <v>-5804</v>
      </c>
      <c r="AF117" s="35">
        <v>-6101</v>
      </c>
      <c r="AG117" s="35">
        <v>-6416</v>
      </c>
      <c r="AH117" s="35">
        <v>-6409</v>
      </c>
      <c r="AI117" s="35">
        <v>-6432</v>
      </c>
      <c r="AJ117" s="35">
        <v>-6278</v>
      </c>
      <c r="AK117" s="35">
        <v>-6483</v>
      </c>
      <c r="AL117" s="35">
        <v>-7052</v>
      </c>
      <c r="AM117" s="35">
        <v>-7385</v>
      </c>
      <c r="AN117" s="35">
        <v>-7637</v>
      </c>
      <c r="AO117" s="35">
        <v>-7910</v>
      </c>
      <c r="AP117" s="35">
        <v>-8878</v>
      </c>
      <c r="AQ117" s="35">
        <v>-9602</v>
      </c>
      <c r="AR117" s="35">
        <v>-11331</v>
      </c>
      <c r="AS117" s="35">
        <v>-10941</v>
      </c>
      <c r="AT117" s="35">
        <v>-11625</v>
      </c>
      <c r="AU117" s="35">
        <v>-12299</v>
      </c>
      <c r="AV117" s="35">
        <v>-13145</v>
      </c>
      <c r="AW117" s="35">
        <v>-14226</v>
      </c>
      <c r="AX117" s="35">
        <v>-14936</v>
      </c>
      <c r="AY117" s="35">
        <v>-15099</v>
      </c>
      <c r="AZ117" s="35">
        <v>-15592</v>
      </c>
      <c r="BA117" s="35">
        <v>-16168</v>
      </c>
      <c r="BB117" s="35">
        <v>-15737</v>
      </c>
      <c r="BC117" s="35">
        <v>-16008</v>
      </c>
      <c r="BD117" s="35">
        <v>-16936</v>
      </c>
      <c r="BE117" s="35">
        <v>-17499</v>
      </c>
      <c r="BF117" s="35">
        <v>-18193</v>
      </c>
      <c r="BG117" s="35">
        <v>-18055</v>
      </c>
      <c r="BH117" s="35">
        <v>-19134</v>
      </c>
      <c r="BI117" s="33">
        <v>-19890</v>
      </c>
      <c r="BJ117" s="33">
        <v>-20829</v>
      </c>
      <c r="BK117" s="33">
        <v>-21679</v>
      </c>
      <c r="BL117" s="33">
        <v>-23299</v>
      </c>
    </row>
    <row r="118" spans="1:64" ht="14.15" customHeight="1" x14ac:dyDescent="0.35">
      <c r="A118" s="31" t="s">
        <v>246</v>
      </c>
      <c r="B118" s="35">
        <v>-12</v>
      </c>
      <c r="C118" s="35">
        <v>-367</v>
      </c>
      <c r="D118" s="35">
        <v>-16</v>
      </c>
      <c r="E118" s="35">
        <v>-53</v>
      </c>
      <c r="F118" s="35">
        <v>-248</v>
      </c>
      <c r="G118" s="35">
        <v>-637</v>
      </c>
      <c r="H118" s="35">
        <v>-961</v>
      </c>
      <c r="I118" s="35">
        <v>-428</v>
      </c>
      <c r="J118" s="35">
        <v>-187</v>
      </c>
      <c r="K118" s="35">
        <v>-1051</v>
      </c>
      <c r="L118" s="35">
        <v>-279</v>
      </c>
      <c r="M118" s="35">
        <v>-3956</v>
      </c>
      <c r="N118" s="35">
        <v>-6748</v>
      </c>
      <c r="O118" s="35">
        <v>-2428</v>
      </c>
      <c r="P118" s="35">
        <v>-2662</v>
      </c>
      <c r="Q118" s="35">
        <v>-2374</v>
      </c>
      <c r="R118" s="35">
        <v>-2259</v>
      </c>
      <c r="S118" s="35">
        <v>-3267</v>
      </c>
      <c r="T118" s="35">
        <v>-4101</v>
      </c>
      <c r="U118" s="35">
        <v>-10138</v>
      </c>
      <c r="V118" s="35">
        <v>-6250</v>
      </c>
      <c r="W118" s="35">
        <v>-10491</v>
      </c>
      <c r="X118" s="35">
        <v>-6694</v>
      </c>
      <c r="Y118" s="35">
        <v>-5542</v>
      </c>
      <c r="Z118" s="35">
        <v>-4716</v>
      </c>
      <c r="AA118" s="35">
        <v>-4021</v>
      </c>
      <c r="AB118" s="35">
        <v>-3548</v>
      </c>
      <c r="AC118" s="35">
        <v>-2929</v>
      </c>
      <c r="AD118" s="35">
        <v>-3004</v>
      </c>
      <c r="AE118" s="35">
        <v>-3150</v>
      </c>
      <c r="AF118" s="35">
        <v>-2498</v>
      </c>
      <c r="AG118" s="35">
        <v>-2785</v>
      </c>
      <c r="AH118" s="35">
        <v>-3001</v>
      </c>
      <c r="AI118" s="35">
        <v>-2418</v>
      </c>
      <c r="AJ118" s="35">
        <v>-3741</v>
      </c>
      <c r="AK118" s="35">
        <v>-4711</v>
      </c>
      <c r="AL118" s="35">
        <v>-4522</v>
      </c>
      <c r="AM118" s="35">
        <v>-3098</v>
      </c>
      <c r="AN118" s="35">
        <v>-4580</v>
      </c>
      <c r="AO118" s="35">
        <v>-7194</v>
      </c>
      <c r="AP118" s="35">
        <v>-5024</v>
      </c>
      <c r="AQ118" s="35">
        <v>-5029</v>
      </c>
      <c r="AR118" s="35">
        <v>-5106</v>
      </c>
      <c r="AS118" s="35">
        <v>-6146</v>
      </c>
      <c r="AT118" s="35">
        <v>-7283</v>
      </c>
      <c r="AU118" s="35">
        <v>-6763</v>
      </c>
      <c r="AV118" s="35">
        <v>-18285</v>
      </c>
      <c r="AW118" s="35">
        <v>-5292</v>
      </c>
      <c r="AX118" s="35">
        <v>-4883</v>
      </c>
      <c r="AY118" s="35">
        <v>-6383</v>
      </c>
      <c r="AZ118" s="35">
        <v>-6605</v>
      </c>
      <c r="BA118" s="35">
        <v>-8874</v>
      </c>
      <c r="BB118" s="35">
        <v>-7474</v>
      </c>
      <c r="BC118" s="35">
        <v>-4555</v>
      </c>
      <c r="BD118" s="35">
        <v>-2783</v>
      </c>
      <c r="BE118" s="35">
        <v>-3106</v>
      </c>
      <c r="BF118" s="35">
        <v>-4592</v>
      </c>
      <c r="BG118" s="35">
        <v>-6225</v>
      </c>
      <c r="BH118" s="35">
        <v>-3645</v>
      </c>
      <c r="BI118" s="33">
        <v>-4223</v>
      </c>
      <c r="BJ118" s="33">
        <v>-11828</v>
      </c>
      <c r="BK118" s="33">
        <v>-6934</v>
      </c>
      <c r="BL118" s="33">
        <v>-7020</v>
      </c>
    </row>
    <row r="119" spans="1:64" ht="14.15" customHeight="1" x14ac:dyDescent="0.35">
      <c r="A119" s="31" t="s">
        <v>247</v>
      </c>
      <c r="B119" s="35" t="s">
        <v>156</v>
      </c>
      <c r="C119" s="35" t="s">
        <v>156</v>
      </c>
      <c r="D119" s="35" t="s">
        <v>156</v>
      </c>
      <c r="E119" s="35" t="s">
        <v>156</v>
      </c>
      <c r="F119" s="35" t="s">
        <v>156</v>
      </c>
      <c r="G119" s="35" t="s">
        <v>156</v>
      </c>
      <c r="H119" s="35" t="s">
        <v>156</v>
      </c>
      <c r="I119" s="35" t="s">
        <v>156</v>
      </c>
      <c r="J119" s="35" t="s">
        <v>156</v>
      </c>
      <c r="K119" s="35" t="s">
        <v>156</v>
      </c>
      <c r="L119" s="35" t="s">
        <v>156</v>
      </c>
      <c r="M119" s="35" t="s">
        <v>156</v>
      </c>
      <c r="N119" s="35" t="s">
        <v>156</v>
      </c>
      <c r="O119" s="35" t="s">
        <v>156</v>
      </c>
      <c r="P119" s="35" t="s">
        <v>156</v>
      </c>
      <c r="Q119" s="35" t="s">
        <v>156</v>
      </c>
      <c r="R119" s="35" t="s">
        <v>156</v>
      </c>
      <c r="S119" s="35" t="s">
        <v>156</v>
      </c>
      <c r="T119" s="35" t="s">
        <v>156</v>
      </c>
      <c r="U119" s="35" t="s">
        <v>156</v>
      </c>
      <c r="V119" s="35" t="s">
        <v>156</v>
      </c>
      <c r="W119" s="35" t="s">
        <v>156</v>
      </c>
      <c r="X119" s="35" t="s">
        <v>156</v>
      </c>
      <c r="Y119" s="35" t="s">
        <v>156</v>
      </c>
      <c r="Z119" s="35" t="s">
        <v>156</v>
      </c>
      <c r="AA119" s="35">
        <v>-1875</v>
      </c>
      <c r="AB119" s="35" t="s">
        <v>156</v>
      </c>
      <c r="AC119" s="35" t="s">
        <v>156</v>
      </c>
      <c r="AD119" s="35" t="s">
        <v>156</v>
      </c>
      <c r="AE119" s="35" t="s">
        <v>156</v>
      </c>
      <c r="AF119" s="35" t="s">
        <v>156</v>
      </c>
      <c r="AG119" s="35" t="s">
        <v>156</v>
      </c>
      <c r="AH119" s="35" t="s">
        <v>156</v>
      </c>
      <c r="AI119" s="35" t="s">
        <v>156</v>
      </c>
      <c r="AJ119" s="35" t="s">
        <v>156</v>
      </c>
      <c r="AK119" s="35" t="s">
        <v>156</v>
      </c>
      <c r="AL119" s="35">
        <v>-5158</v>
      </c>
      <c r="AM119" s="35" t="s">
        <v>156</v>
      </c>
      <c r="AN119" s="35" t="s">
        <v>156</v>
      </c>
      <c r="AO119" s="35" t="s">
        <v>156</v>
      </c>
      <c r="AP119" s="35" t="s">
        <v>156</v>
      </c>
      <c r="AQ119" s="35" t="s">
        <v>156</v>
      </c>
      <c r="AR119" s="35" t="s">
        <v>156</v>
      </c>
      <c r="AS119" s="35" t="s">
        <v>156</v>
      </c>
      <c r="AT119" s="35" t="s">
        <v>156</v>
      </c>
      <c r="AU119" s="35" t="s">
        <v>156</v>
      </c>
      <c r="AV119" s="35" t="s">
        <v>156</v>
      </c>
      <c r="AW119" s="35" t="s">
        <v>156</v>
      </c>
      <c r="AX119" s="35" t="s">
        <v>156</v>
      </c>
      <c r="AY119" s="35">
        <v>-2404</v>
      </c>
      <c r="AZ119" s="35">
        <v>-12992</v>
      </c>
      <c r="BA119" s="35">
        <v>-2588</v>
      </c>
      <c r="BB119" s="35" t="s">
        <v>156</v>
      </c>
      <c r="BC119" s="35" t="s">
        <v>156</v>
      </c>
      <c r="BD119" s="35" t="s">
        <v>156</v>
      </c>
      <c r="BE119" s="35" t="s">
        <v>156</v>
      </c>
      <c r="BF119" s="35" t="s">
        <v>9</v>
      </c>
      <c r="BG119" s="35" t="s">
        <v>9</v>
      </c>
      <c r="BH119" s="35" t="s">
        <v>9</v>
      </c>
      <c r="BI119" s="33" t="s">
        <v>9</v>
      </c>
      <c r="BJ119" s="33" t="s">
        <v>9</v>
      </c>
      <c r="BK119" s="33" t="s">
        <v>9</v>
      </c>
      <c r="BL119" s="33" t="s">
        <v>9</v>
      </c>
    </row>
    <row r="120" spans="1:64" ht="14.15" customHeight="1" x14ac:dyDescent="0.35">
      <c r="A120" s="31" t="s">
        <v>248</v>
      </c>
      <c r="B120" s="35" t="s">
        <v>156</v>
      </c>
      <c r="C120" s="35" t="s">
        <v>156</v>
      </c>
      <c r="D120" s="35" t="s">
        <v>156</v>
      </c>
      <c r="E120" s="35" t="s">
        <v>156</v>
      </c>
      <c r="F120" s="35" t="s">
        <v>156</v>
      </c>
      <c r="G120" s="35" t="s">
        <v>156</v>
      </c>
      <c r="H120" s="35" t="s">
        <v>156</v>
      </c>
      <c r="I120" s="35" t="s">
        <v>156</v>
      </c>
      <c r="J120" s="35" t="s">
        <v>156</v>
      </c>
      <c r="K120" s="35" t="s">
        <v>156</v>
      </c>
      <c r="L120" s="35" t="s">
        <v>156</v>
      </c>
      <c r="M120" s="35" t="s">
        <v>156</v>
      </c>
      <c r="N120" s="35" t="s">
        <v>156</v>
      </c>
      <c r="O120" s="35" t="s">
        <v>156</v>
      </c>
      <c r="P120" s="35" t="s">
        <v>156</v>
      </c>
      <c r="Q120" s="35" t="s">
        <v>156</v>
      </c>
      <c r="R120" s="35" t="s">
        <v>156</v>
      </c>
      <c r="S120" s="35" t="s">
        <v>156</v>
      </c>
      <c r="T120" s="35" t="s">
        <v>156</v>
      </c>
      <c r="U120" s="35" t="s">
        <v>156</v>
      </c>
      <c r="V120" s="35" t="s">
        <v>156</v>
      </c>
      <c r="W120" s="35" t="s">
        <v>156</v>
      </c>
      <c r="X120" s="35" t="s">
        <v>156</v>
      </c>
      <c r="Y120" s="35" t="s">
        <v>156</v>
      </c>
      <c r="Z120" s="35" t="s">
        <v>156</v>
      </c>
      <c r="AA120" s="35" t="s">
        <v>156</v>
      </c>
      <c r="AB120" s="35" t="s">
        <v>156</v>
      </c>
      <c r="AC120" s="35" t="s">
        <v>156</v>
      </c>
      <c r="AD120" s="35" t="s">
        <v>156</v>
      </c>
      <c r="AE120" s="35" t="s">
        <v>156</v>
      </c>
      <c r="AF120" s="35" t="s">
        <v>156</v>
      </c>
      <c r="AG120" s="35" t="s">
        <v>156</v>
      </c>
      <c r="AH120" s="35" t="s">
        <v>156</v>
      </c>
      <c r="AI120" s="35">
        <v>-7644</v>
      </c>
      <c r="AJ120" s="35">
        <v>-342</v>
      </c>
      <c r="AK120" s="35">
        <v>-11006</v>
      </c>
      <c r="AL120" s="35">
        <v>-2642</v>
      </c>
      <c r="AM120" s="35">
        <v>-1753</v>
      </c>
      <c r="AN120" s="35">
        <v>-150</v>
      </c>
      <c r="AO120" s="35">
        <v>-1024</v>
      </c>
      <c r="AP120" s="35">
        <v>-1</v>
      </c>
      <c r="AQ120" s="35" t="s">
        <v>156</v>
      </c>
      <c r="AR120" s="35" t="s">
        <v>156</v>
      </c>
      <c r="AS120" s="35">
        <v>-160</v>
      </c>
      <c r="AT120" s="35">
        <v>-111</v>
      </c>
      <c r="AU120" s="35">
        <v>-13700</v>
      </c>
      <c r="AV120" s="35">
        <v>-1779</v>
      </c>
      <c r="AW120" s="35">
        <v>-16690</v>
      </c>
      <c r="AX120" s="35">
        <v>-197</v>
      </c>
      <c r="AY120" s="35" t="s">
        <v>156</v>
      </c>
      <c r="AZ120" s="35" t="s">
        <v>156</v>
      </c>
      <c r="BA120" s="35" t="s">
        <v>156</v>
      </c>
      <c r="BB120" s="35">
        <v>-1221</v>
      </c>
      <c r="BC120" s="35">
        <v>-30128</v>
      </c>
      <c r="BD120" s="35">
        <v>-8436</v>
      </c>
      <c r="BE120" s="35">
        <v>-1750</v>
      </c>
      <c r="BF120" s="35">
        <v>-5896</v>
      </c>
      <c r="BG120" s="35">
        <v>-1156</v>
      </c>
      <c r="BH120" s="35">
        <v>-2725</v>
      </c>
      <c r="BI120" s="33">
        <v>-8950</v>
      </c>
      <c r="BJ120" s="33">
        <v>-103509</v>
      </c>
      <c r="BK120" s="33" t="s">
        <v>9</v>
      </c>
      <c r="BL120" s="33" t="s">
        <v>9</v>
      </c>
    </row>
    <row r="121" spans="1:64" ht="14.15" customHeight="1" x14ac:dyDescent="0.35">
      <c r="A121" s="31" t="s">
        <v>249</v>
      </c>
      <c r="B121" s="36">
        <v>-5274</v>
      </c>
      <c r="C121" s="36">
        <v>-5797</v>
      </c>
      <c r="D121" s="36">
        <v>-5708</v>
      </c>
      <c r="E121" s="36">
        <v>-5908</v>
      </c>
      <c r="F121" s="36">
        <v>-6542</v>
      </c>
      <c r="G121" s="36">
        <v>-7294</v>
      </c>
      <c r="H121" s="36">
        <v>-8045</v>
      </c>
      <c r="I121" s="36">
        <v>-7986</v>
      </c>
      <c r="J121" s="36">
        <v>-8632</v>
      </c>
      <c r="K121" s="36">
        <v>-10107</v>
      </c>
      <c r="L121" s="36">
        <v>-9583</v>
      </c>
      <c r="M121" s="36">
        <v>-13409</v>
      </c>
      <c r="N121" s="36">
        <v>-16749</v>
      </c>
      <c r="O121" s="36">
        <v>-13602</v>
      </c>
      <c r="P121" s="36">
        <v>-14386</v>
      </c>
      <c r="Q121" s="36">
        <v>-14879</v>
      </c>
      <c r="R121" s="36">
        <v>-15720</v>
      </c>
      <c r="S121" s="36">
        <v>-17476</v>
      </c>
      <c r="T121" s="36">
        <v>-19942</v>
      </c>
      <c r="U121" s="36">
        <v>-28041</v>
      </c>
      <c r="V121" s="36">
        <v>-26099</v>
      </c>
      <c r="W121" s="36">
        <v>-33976</v>
      </c>
      <c r="X121" s="36">
        <v>-31957</v>
      </c>
      <c r="Y121" s="36">
        <v>-32698</v>
      </c>
      <c r="Z121" s="36">
        <v>-33007</v>
      </c>
      <c r="AA121" s="36">
        <v>-36455</v>
      </c>
      <c r="AB121" s="36">
        <v>-36967</v>
      </c>
      <c r="AC121" s="36">
        <v>-37212</v>
      </c>
      <c r="AD121" s="36">
        <v>-36615</v>
      </c>
      <c r="AE121" s="36">
        <v>-39356</v>
      </c>
      <c r="AF121" s="36">
        <v>-39280</v>
      </c>
      <c r="AG121" s="36">
        <v>-37386</v>
      </c>
      <c r="AH121" s="36">
        <v>-37772</v>
      </c>
      <c r="AI121" s="36">
        <v>-44455</v>
      </c>
      <c r="AJ121" s="36">
        <v>-37620</v>
      </c>
      <c r="AK121" s="36">
        <v>-49973</v>
      </c>
      <c r="AL121" s="36">
        <v>-47194</v>
      </c>
      <c r="AM121" s="36">
        <v>-40445</v>
      </c>
      <c r="AN121" s="36">
        <v>-42581</v>
      </c>
      <c r="AO121" s="36">
        <v>-47011</v>
      </c>
      <c r="AP121" s="36">
        <v>-47392</v>
      </c>
      <c r="AQ121" s="36">
        <v>-54382</v>
      </c>
      <c r="AR121" s="36">
        <v>-58537</v>
      </c>
      <c r="AS121" s="36">
        <v>-65224</v>
      </c>
      <c r="AT121" s="36">
        <v>-68250</v>
      </c>
      <c r="AU121" s="36">
        <v>-82238</v>
      </c>
      <c r="AV121" s="36">
        <v>-86242</v>
      </c>
      <c r="AW121" s="36">
        <v>-92639</v>
      </c>
      <c r="AX121" s="36">
        <v>-82116</v>
      </c>
      <c r="AY121" s="36">
        <v>-88467</v>
      </c>
      <c r="AZ121" s="36">
        <v>-103536</v>
      </c>
      <c r="BA121" s="36">
        <v>-92785</v>
      </c>
      <c r="BB121" s="36">
        <v>-88044</v>
      </c>
      <c r="BC121" s="36">
        <v>-115803</v>
      </c>
      <c r="BD121" s="36">
        <v>-95251</v>
      </c>
      <c r="BE121" s="36">
        <v>-89826</v>
      </c>
      <c r="BF121" s="36">
        <v>-97869</v>
      </c>
      <c r="BG121" s="36">
        <v>-98192</v>
      </c>
      <c r="BH121" s="36">
        <v>-106362</v>
      </c>
      <c r="BI121" s="34">
        <v>-123860</v>
      </c>
      <c r="BJ121" s="34">
        <v>-234964</v>
      </c>
      <c r="BK121" s="34">
        <v>-131927</v>
      </c>
      <c r="BL121" s="34">
        <v>-146736</v>
      </c>
    </row>
    <row r="122" spans="1:64" ht="14.15" customHeight="1" thickBot="1" x14ac:dyDescent="0.4">
      <c r="A122" s="28" t="s">
        <v>250</v>
      </c>
      <c r="B122" s="37">
        <v>106821</v>
      </c>
      <c r="C122" s="37">
        <v>111316</v>
      </c>
      <c r="D122" s="37">
        <v>118528</v>
      </c>
      <c r="E122" s="37">
        <v>118228</v>
      </c>
      <c r="F122" s="37">
        <v>134532</v>
      </c>
      <c r="G122" s="37">
        <v>157464</v>
      </c>
      <c r="H122" s="37">
        <v>178134</v>
      </c>
      <c r="I122" s="37">
        <v>183640</v>
      </c>
      <c r="J122" s="37">
        <v>195649</v>
      </c>
      <c r="K122" s="37">
        <v>210172</v>
      </c>
      <c r="L122" s="37">
        <v>230681</v>
      </c>
      <c r="M122" s="37">
        <v>245707</v>
      </c>
      <c r="N122" s="37">
        <v>269359</v>
      </c>
      <c r="O122" s="37">
        <v>332332</v>
      </c>
      <c r="P122" s="37">
        <v>371792</v>
      </c>
      <c r="Q122" s="37">
        <v>409218</v>
      </c>
      <c r="R122" s="37">
        <v>458746</v>
      </c>
      <c r="S122" s="37">
        <v>504028</v>
      </c>
      <c r="T122" s="37">
        <v>590941</v>
      </c>
      <c r="U122" s="37">
        <v>678241</v>
      </c>
      <c r="V122" s="37">
        <v>745743</v>
      </c>
      <c r="W122" s="37">
        <v>808364</v>
      </c>
      <c r="X122" s="37">
        <v>851805</v>
      </c>
      <c r="Y122" s="37">
        <v>946344</v>
      </c>
      <c r="Z122" s="37">
        <v>990382</v>
      </c>
      <c r="AA122" s="37">
        <v>1004017</v>
      </c>
      <c r="AB122" s="37">
        <v>1064416</v>
      </c>
      <c r="AC122" s="37">
        <v>1143743</v>
      </c>
      <c r="AD122" s="37">
        <v>1252993</v>
      </c>
      <c r="AE122" s="37">
        <v>1324226</v>
      </c>
      <c r="AF122" s="37">
        <v>1381529</v>
      </c>
      <c r="AG122" s="37">
        <v>1409386</v>
      </c>
      <c r="AH122" s="37">
        <v>1461752</v>
      </c>
      <c r="AI122" s="37">
        <v>1515742</v>
      </c>
      <c r="AJ122" s="37">
        <v>1560484</v>
      </c>
      <c r="AK122" s="37">
        <v>1601116</v>
      </c>
      <c r="AL122" s="37">
        <v>1652458</v>
      </c>
      <c r="AM122" s="37">
        <v>1701842</v>
      </c>
      <c r="AN122" s="37">
        <v>1788950</v>
      </c>
      <c r="AO122" s="37">
        <v>1862846</v>
      </c>
      <c r="AP122" s="37">
        <v>2010894</v>
      </c>
      <c r="AQ122" s="37">
        <v>2159899</v>
      </c>
      <c r="AR122" s="37">
        <v>2292841</v>
      </c>
      <c r="AS122" s="37">
        <v>2471957</v>
      </c>
      <c r="AT122" s="37">
        <v>2655050</v>
      </c>
      <c r="AU122" s="37">
        <v>2728686</v>
      </c>
      <c r="AV122" s="37">
        <v>2982544</v>
      </c>
      <c r="AW122" s="37">
        <v>3517677</v>
      </c>
      <c r="AX122" s="37">
        <v>3457079</v>
      </c>
      <c r="AY122" s="37">
        <v>3603065</v>
      </c>
      <c r="AZ122" s="37">
        <v>3526563</v>
      </c>
      <c r="BA122" s="37">
        <v>3454881</v>
      </c>
      <c r="BB122" s="37">
        <v>3506284</v>
      </c>
      <c r="BC122" s="37">
        <v>3691850</v>
      </c>
      <c r="BD122" s="37">
        <v>3852615</v>
      </c>
      <c r="BE122" s="37">
        <v>3981634</v>
      </c>
      <c r="BF122" s="37">
        <v>4108981</v>
      </c>
      <c r="BG122" s="37">
        <v>4446952</v>
      </c>
      <c r="BH122" s="37">
        <v>6553620</v>
      </c>
      <c r="BI122" s="38">
        <v>6822461</v>
      </c>
      <c r="BJ122" s="38">
        <v>6273261</v>
      </c>
      <c r="BK122" s="38">
        <v>6134673</v>
      </c>
      <c r="BL122" s="38">
        <v>6750856</v>
      </c>
    </row>
    <row r="123" spans="1:64" ht="14.15" customHeight="1" x14ac:dyDescent="0.35">
      <c r="A123" s="39"/>
    </row>
  </sheetData>
  <mergeCells count="1">
    <mergeCell ref="BP6:B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4183-F268-4397-AAC7-269261662F5D}">
  <dimension ref="A1:C52"/>
  <sheetViews>
    <sheetView tabSelected="1" workbookViewId="0">
      <selection activeCell="H17" sqref="H17"/>
    </sheetView>
  </sheetViews>
  <sheetFormatPr defaultRowHeight="14.5" x14ac:dyDescent="0.35"/>
  <cols>
    <col min="1" max="1" width="21.54296875" bestFit="1" customWidth="1"/>
    <col min="2" max="2" width="19.453125" bestFit="1" customWidth="1"/>
    <col min="3" max="3" width="16.36328125" customWidth="1"/>
  </cols>
  <sheetData>
    <row r="1" spans="1:3" x14ac:dyDescent="0.35">
      <c r="A1" s="61" t="s">
        <v>297</v>
      </c>
      <c r="B1" s="61" t="s">
        <v>298</v>
      </c>
      <c r="C1" s="61" t="s">
        <v>299</v>
      </c>
    </row>
    <row r="2" spans="1:3" x14ac:dyDescent="0.35">
      <c r="A2" t="s">
        <v>300</v>
      </c>
      <c r="B2">
        <v>491065781</v>
      </c>
      <c r="C2">
        <v>1.47</v>
      </c>
    </row>
    <row r="3" spans="1:3" x14ac:dyDescent="0.35">
      <c r="A3" t="s">
        <v>301</v>
      </c>
      <c r="B3">
        <v>89175869</v>
      </c>
      <c r="C3">
        <v>0.27</v>
      </c>
    </row>
    <row r="4" spans="1:3" x14ac:dyDescent="0.35">
      <c r="A4" t="s">
        <v>302</v>
      </c>
      <c r="B4">
        <v>643631824</v>
      </c>
      <c r="C4">
        <v>1.92</v>
      </c>
    </row>
    <row r="5" spans="1:3" x14ac:dyDescent="0.35">
      <c r="A5" t="s">
        <v>303</v>
      </c>
      <c r="B5">
        <v>269901001</v>
      </c>
      <c r="C5">
        <v>0.81</v>
      </c>
    </row>
    <row r="6" spans="1:3" x14ac:dyDescent="0.35">
      <c r="A6" t="s">
        <v>304</v>
      </c>
      <c r="B6">
        <v>3597530735</v>
      </c>
      <c r="C6">
        <v>10.74</v>
      </c>
    </row>
    <row r="7" spans="1:3" x14ac:dyDescent="0.35">
      <c r="A7" t="s">
        <v>305</v>
      </c>
      <c r="B7">
        <v>419116746</v>
      </c>
      <c r="C7">
        <v>1.25</v>
      </c>
    </row>
    <row r="8" spans="1:3" x14ac:dyDescent="0.35">
      <c r="A8" t="s">
        <v>306</v>
      </c>
      <c r="B8">
        <v>324697590</v>
      </c>
      <c r="C8">
        <v>0.97</v>
      </c>
    </row>
    <row r="9" spans="1:3" x14ac:dyDescent="0.35">
      <c r="A9" t="s">
        <v>307</v>
      </c>
      <c r="B9">
        <v>100018055</v>
      </c>
      <c r="C9">
        <v>0.3</v>
      </c>
    </row>
    <row r="10" spans="1:3" x14ac:dyDescent="0.35">
      <c r="A10" t="s">
        <v>308</v>
      </c>
      <c r="B10">
        <v>876970057</v>
      </c>
      <c r="C10">
        <v>2.62</v>
      </c>
    </row>
    <row r="11" spans="1:3" x14ac:dyDescent="0.35">
      <c r="A11" t="s">
        <v>309</v>
      </c>
      <c r="B11">
        <v>1512619453</v>
      </c>
      <c r="C11">
        <v>4.5199999999999996</v>
      </c>
    </row>
    <row r="12" spans="1:3" x14ac:dyDescent="0.35">
      <c r="A12" t="s">
        <v>310</v>
      </c>
      <c r="B12">
        <v>897348162</v>
      </c>
      <c r="C12">
        <v>2.68</v>
      </c>
    </row>
    <row r="13" spans="1:3" x14ac:dyDescent="0.35">
      <c r="A13" t="s">
        <v>311</v>
      </c>
      <c r="B13">
        <v>118165613</v>
      </c>
      <c r="C13">
        <v>0.35</v>
      </c>
    </row>
    <row r="14" spans="1:3" x14ac:dyDescent="0.35">
      <c r="A14" t="s">
        <v>312</v>
      </c>
      <c r="B14">
        <v>126733306</v>
      </c>
      <c r="C14">
        <v>0.38</v>
      </c>
    </row>
    <row r="15" spans="1:3" x14ac:dyDescent="0.35">
      <c r="A15" t="s">
        <v>313</v>
      </c>
      <c r="B15">
        <v>1564753842</v>
      </c>
      <c r="C15">
        <v>4.67</v>
      </c>
    </row>
    <row r="16" spans="1:3" x14ac:dyDescent="0.35">
      <c r="A16" t="s">
        <v>314</v>
      </c>
      <c r="B16">
        <v>521007108</v>
      </c>
      <c r="C16">
        <v>1.56</v>
      </c>
    </row>
    <row r="17" spans="1:3" x14ac:dyDescent="0.35">
      <c r="A17" t="s">
        <v>315</v>
      </c>
      <c r="B17">
        <v>247936757</v>
      </c>
      <c r="C17">
        <v>0.74</v>
      </c>
    </row>
    <row r="18" spans="1:3" x14ac:dyDescent="0.35">
      <c r="A18" t="s">
        <v>316</v>
      </c>
      <c r="B18">
        <v>234447058</v>
      </c>
      <c r="C18">
        <v>0.7</v>
      </c>
    </row>
    <row r="19" spans="1:3" x14ac:dyDescent="0.35">
      <c r="A19" t="s">
        <v>317</v>
      </c>
      <c r="B19">
        <v>482745195</v>
      </c>
      <c r="C19">
        <v>1.44</v>
      </c>
    </row>
    <row r="20" spans="1:3" x14ac:dyDescent="0.35">
      <c r="A20" t="s">
        <v>318</v>
      </c>
      <c r="B20">
        <v>509087573</v>
      </c>
      <c r="C20">
        <v>1.52</v>
      </c>
    </row>
    <row r="21" spans="1:3" x14ac:dyDescent="0.35">
      <c r="A21" t="s">
        <v>319</v>
      </c>
      <c r="B21">
        <v>119848846</v>
      </c>
      <c r="C21">
        <v>0.36</v>
      </c>
    </row>
    <row r="22" spans="1:3" x14ac:dyDescent="0.35">
      <c r="A22" t="s">
        <v>320</v>
      </c>
      <c r="B22">
        <v>724072485</v>
      </c>
      <c r="C22">
        <v>2.16</v>
      </c>
    </row>
    <row r="23" spans="1:3" x14ac:dyDescent="0.35">
      <c r="A23" t="s">
        <v>321</v>
      </c>
      <c r="B23">
        <v>685683012</v>
      </c>
      <c r="C23">
        <v>2.0499999999999998</v>
      </c>
    </row>
    <row r="24" spans="1:3" x14ac:dyDescent="0.35">
      <c r="A24" t="s">
        <v>322</v>
      </c>
      <c r="B24">
        <v>836805712</v>
      </c>
      <c r="C24">
        <v>2.5</v>
      </c>
    </row>
    <row r="25" spans="1:3" x14ac:dyDescent="0.35">
      <c r="A25" t="s">
        <v>323</v>
      </c>
      <c r="B25">
        <v>466264617</v>
      </c>
      <c r="C25">
        <v>1.39</v>
      </c>
    </row>
    <row r="26" spans="1:3" x14ac:dyDescent="0.35">
      <c r="A26" t="s">
        <v>324</v>
      </c>
      <c r="B26">
        <v>365785004</v>
      </c>
      <c r="C26">
        <v>1.0900000000000001</v>
      </c>
    </row>
    <row r="27" spans="1:3" x14ac:dyDescent="0.35">
      <c r="A27" t="s">
        <v>325</v>
      </c>
      <c r="B27">
        <v>677288941</v>
      </c>
      <c r="C27">
        <v>2.02</v>
      </c>
    </row>
    <row r="28" spans="1:3" x14ac:dyDescent="0.35">
      <c r="A28" t="s">
        <v>326</v>
      </c>
      <c r="B28">
        <v>93315757</v>
      </c>
      <c r="C28">
        <v>0.28000000000000003</v>
      </c>
    </row>
    <row r="29" spans="1:3" x14ac:dyDescent="0.35">
      <c r="A29" t="s">
        <v>327</v>
      </c>
      <c r="B29">
        <v>128632779</v>
      </c>
      <c r="C29">
        <v>0.38</v>
      </c>
    </row>
    <row r="30" spans="1:3" x14ac:dyDescent="0.35">
      <c r="A30" t="s">
        <v>328</v>
      </c>
      <c r="B30">
        <v>326411114</v>
      </c>
      <c r="C30">
        <v>0.97</v>
      </c>
    </row>
    <row r="31" spans="1:3" x14ac:dyDescent="0.35">
      <c r="A31" t="s">
        <v>329</v>
      </c>
      <c r="B31">
        <v>91470743</v>
      </c>
      <c r="C31">
        <v>0.27</v>
      </c>
    </row>
    <row r="32" spans="1:3" x14ac:dyDescent="0.35">
      <c r="A32" t="s">
        <v>330</v>
      </c>
      <c r="B32">
        <v>897212437</v>
      </c>
      <c r="C32">
        <v>2.68</v>
      </c>
    </row>
    <row r="33" spans="1:3" x14ac:dyDescent="0.35">
      <c r="A33" t="s">
        <v>331</v>
      </c>
      <c r="B33">
        <v>531282081</v>
      </c>
      <c r="C33">
        <v>1.59</v>
      </c>
    </row>
    <row r="34" spans="1:3" x14ac:dyDescent="0.35">
      <c r="A34" t="s">
        <v>332</v>
      </c>
      <c r="B34">
        <v>2248177523</v>
      </c>
      <c r="C34">
        <v>6.71</v>
      </c>
    </row>
    <row r="35" spans="1:3" x14ac:dyDescent="0.35">
      <c r="A35" t="s">
        <v>333</v>
      </c>
      <c r="B35">
        <v>867705041</v>
      </c>
      <c r="C35">
        <v>2.59</v>
      </c>
    </row>
    <row r="36" spans="1:3" x14ac:dyDescent="0.35">
      <c r="A36" t="s">
        <v>334</v>
      </c>
      <c r="B36">
        <v>92459061</v>
      </c>
      <c r="C36">
        <v>0.28000000000000003</v>
      </c>
    </row>
    <row r="37" spans="1:3" x14ac:dyDescent="0.35">
      <c r="A37" t="s">
        <v>335</v>
      </c>
      <c r="B37">
        <v>948027373</v>
      </c>
      <c r="C37">
        <v>2.83</v>
      </c>
    </row>
    <row r="38" spans="1:3" x14ac:dyDescent="0.35">
      <c r="A38" t="s">
        <v>336</v>
      </c>
      <c r="B38">
        <v>376909415</v>
      </c>
      <c r="C38">
        <v>1.1299999999999999</v>
      </c>
    </row>
    <row r="39" spans="1:3" x14ac:dyDescent="0.35">
      <c r="A39" t="s">
        <v>337</v>
      </c>
      <c r="B39">
        <v>313733357</v>
      </c>
      <c r="C39">
        <v>0.94</v>
      </c>
    </row>
    <row r="40" spans="1:3" x14ac:dyDescent="0.35">
      <c r="A40" t="s">
        <v>338</v>
      </c>
      <c r="B40">
        <v>1122532929</v>
      </c>
      <c r="C40">
        <v>3.35</v>
      </c>
    </row>
    <row r="41" spans="1:3" x14ac:dyDescent="0.35">
      <c r="A41" t="s">
        <v>339</v>
      </c>
      <c r="B41">
        <v>117075608</v>
      </c>
      <c r="C41">
        <v>0.35</v>
      </c>
    </row>
    <row r="42" spans="1:3" x14ac:dyDescent="0.35">
      <c r="A42" t="s">
        <v>340</v>
      </c>
      <c r="B42">
        <v>788540613</v>
      </c>
      <c r="C42">
        <v>2.35</v>
      </c>
    </row>
    <row r="43" spans="1:3" x14ac:dyDescent="0.35">
      <c r="A43" t="s">
        <v>341</v>
      </c>
      <c r="B43">
        <v>109753693</v>
      </c>
      <c r="C43">
        <v>0.33</v>
      </c>
    </row>
    <row r="44" spans="1:3" x14ac:dyDescent="0.35">
      <c r="A44" t="s">
        <v>342</v>
      </c>
      <c r="B44">
        <v>861073113</v>
      </c>
      <c r="C44">
        <v>2.57</v>
      </c>
    </row>
    <row r="45" spans="1:3" x14ac:dyDescent="0.35">
      <c r="A45" t="s">
        <v>343</v>
      </c>
      <c r="B45">
        <v>3048373920</v>
      </c>
      <c r="C45">
        <v>9.1</v>
      </c>
    </row>
    <row r="46" spans="1:3" x14ac:dyDescent="0.35">
      <c r="A46" t="s">
        <v>344</v>
      </c>
      <c r="B46">
        <v>414271724</v>
      </c>
      <c r="C46">
        <v>1.24</v>
      </c>
    </row>
    <row r="47" spans="1:3" x14ac:dyDescent="0.35">
      <c r="A47" t="s">
        <v>345</v>
      </c>
      <c r="B47">
        <v>79982744</v>
      </c>
      <c r="C47">
        <v>0.24</v>
      </c>
    </row>
    <row r="48" spans="1:3" x14ac:dyDescent="0.35">
      <c r="A48" t="s">
        <v>346</v>
      </c>
      <c r="B48">
        <v>1225215104</v>
      </c>
      <c r="C48">
        <v>3.66</v>
      </c>
    </row>
    <row r="49" spans="1:3" x14ac:dyDescent="0.35">
      <c r="A49" t="s">
        <v>347</v>
      </c>
      <c r="B49">
        <v>640896249</v>
      </c>
      <c r="C49">
        <v>1.91</v>
      </c>
    </row>
    <row r="50" spans="1:3" x14ac:dyDescent="0.35">
      <c r="A50" t="s">
        <v>348</v>
      </c>
      <c r="B50">
        <v>182829444</v>
      </c>
      <c r="C50">
        <v>0.55000000000000004</v>
      </c>
    </row>
    <row r="51" spans="1:3" x14ac:dyDescent="0.35">
      <c r="A51" t="s">
        <v>349</v>
      </c>
      <c r="B51">
        <v>399850081</v>
      </c>
      <c r="C51">
        <v>1.19</v>
      </c>
    </row>
    <row r="52" spans="1:3" x14ac:dyDescent="0.35">
      <c r="A52" t="s">
        <v>350</v>
      </c>
      <c r="B52">
        <v>72250313</v>
      </c>
      <c r="C52">
        <v>0.22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Table 1.1</vt:lpstr>
      <vt:lpstr>Table 1.2</vt:lpstr>
      <vt:lpstr>Table 1.3</vt:lpstr>
      <vt:lpstr>Table 2.1</vt:lpstr>
      <vt:lpstr>Table 2.2</vt:lpstr>
      <vt:lpstr>Table 2.4.1</vt:lpstr>
      <vt:lpstr>Table 2.4.2</vt:lpstr>
      <vt:lpstr>Table 3.2</vt:lpstr>
      <vt:lpstr>Table 3.2A</vt:lpstr>
      <vt:lpstr>Table 7.1</vt:lpstr>
      <vt:lpstr>Debt Holding</vt:lpstr>
      <vt:lpstr>Table 3.2 x</vt:lpstr>
      <vt:lpstr>State-wise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Raabiyaal Ishaq</dc:creator>
  <cp:lastModifiedBy>Raabiyaal Ishaq</cp:lastModifiedBy>
  <dcterms:created xsi:type="dcterms:W3CDTF">2015-06-05T18:17:20Z</dcterms:created>
  <dcterms:modified xsi:type="dcterms:W3CDTF">2025-11-03T22:27:34Z</dcterms:modified>
</cp:coreProperties>
</file>